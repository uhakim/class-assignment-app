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반편성_1\"/>
    </mc:Choice>
  </mc:AlternateContent>
  <xr:revisionPtr revIDLastSave="0" documentId="13_ncr:1_{CE1EC69A-B8E3-4FAC-A6E6-5CB778930121}" xr6:coauthVersionLast="47" xr6:coauthVersionMax="47" xr10:uidLastSave="{00000000-0000-0000-0000-000000000000}"/>
  <bookViews>
    <workbookView xWindow="38280" yWindow="-120" windowWidth="29040" windowHeight="15720" xr2:uid="{91F29756-EF38-4C50-818D-B634EE81956C}"/>
  </bookViews>
  <sheets>
    <sheet name="1반 남" sheetId="10" r:id="rId1"/>
    <sheet name="1반 여" sheetId="11" r:id="rId2"/>
    <sheet name="2반 남" sheetId="8" r:id="rId3"/>
    <sheet name="2반 여" sheetId="9" r:id="rId4"/>
    <sheet name="3반 남" sheetId="6" r:id="rId5"/>
    <sheet name="3반 여" sheetId="7" r:id="rId6"/>
    <sheet name="4반 남" sheetId="1" r:id="rId7"/>
    <sheet name="4반 여" sheetId="2" r:id="rId8"/>
    <sheet name="통계표" sheetId="3" r:id="rId9"/>
    <sheet name="전체" sheetId="4" r:id="rId10"/>
    <sheet name="학급별 1반" sheetId="5" r:id="rId11"/>
    <sheet name="학급별 2반" sheetId="14" r:id="rId12"/>
    <sheet name="학급별 3반" sheetId="13" r:id="rId13"/>
    <sheet name="학급별 4반" sheetId="12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" i="4" l="1"/>
  <c r="O4" i="4"/>
  <c r="L4" i="4"/>
  <c r="B44" i="11"/>
  <c r="B30" i="11"/>
  <c r="B16" i="11"/>
  <c r="B2" i="11"/>
  <c r="B44" i="10"/>
  <c r="B30" i="10"/>
  <c r="B16" i="10"/>
  <c r="B2" i="10"/>
  <c r="B44" i="9"/>
  <c r="B30" i="9"/>
  <c r="B16" i="9"/>
  <c r="B2" i="9"/>
  <c r="B44" i="8"/>
  <c r="B30" i="8"/>
  <c r="B16" i="8"/>
  <c r="B2" i="8"/>
  <c r="B44" i="7"/>
  <c r="B30" i="7"/>
  <c r="B16" i="7"/>
  <c r="B2" i="7"/>
  <c r="B44" i="6"/>
  <c r="B30" i="6"/>
  <c r="B16" i="6"/>
  <c r="B2" i="6"/>
  <c r="B44" i="2"/>
  <c r="B30" i="2"/>
  <c r="B16" i="2"/>
  <c r="B2" i="2"/>
  <c r="B44" i="1"/>
  <c r="B30" i="1"/>
  <c r="B16" i="1"/>
  <c r="B2" i="1"/>
  <c r="H52" i="9" l="1"/>
  <c r="G52" i="9"/>
  <c r="F52" i="9"/>
  <c r="E52" i="9"/>
  <c r="D52" i="9"/>
  <c r="C52" i="9"/>
  <c r="C21" i="9"/>
  <c r="H21" i="9"/>
  <c r="G21" i="9"/>
  <c r="F21" i="9"/>
  <c r="E21" i="9"/>
  <c r="D21" i="9"/>
  <c r="H20" i="9"/>
  <c r="F20" i="9"/>
  <c r="E20" i="9"/>
  <c r="C20" i="9"/>
  <c r="D20" i="9"/>
  <c r="G20" i="9"/>
  <c r="G37" i="11"/>
  <c r="E37" i="11"/>
  <c r="D37" i="11"/>
  <c r="H37" i="11"/>
  <c r="C37" i="11"/>
  <c r="F37" i="11"/>
  <c r="C35" i="9"/>
  <c r="F35" i="9"/>
  <c r="H35" i="9"/>
  <c r="G35" i="9"/>
  <c r="E35" i="9"/>
  <c r="D35" i="9"/>
  <c r="E37" i="7"/>
  <c r="D37" i="7"/>
  <c r="C37" i="7"/>
  <c r="H37" i="7"/>
  <c r="G37" i="7"/>
  <c r="F37" i="7"/>
  <c r="F20" i="7"/>
  <c r="E20" i="7"/>
  <c r="H20" i="7"/>
  <c r="D20" i="7"/>
  <c r="C20" i="7"/>
  <c r="G20" i="7"/>
  <c r="H7" i="7"/>
  <c r="G7" i="7"/>
  <c r="C7" i="7"/>
  <c r="F7" i="7"/>
  <c r="E7" i="7"/>
  <c r="D7" i="7"/>
  <c r="E47" i="7"/>
  <c r="H47" i="7"/>
  <c r="G47" i="7"/>
  <c r="D47" i="7"/>
  <c r="F47" i="7"/>
  <c r="C47" i="7"/>
  <c r="E21" i="11"/>
  <c r="C21" i="11"/>
  <c r="H21" i="11"/>
  <c r="F21" i="11"/>
  <c r="G21" i="11"/>
  <c r="D21" i="11"/>
  <c r="G5" i="9"/>
  <c r="C5" i="9"/>
  <c r="H5" i="9"/>
  <c r="F5" i="9"/>
  <c r="E5" i="9"/>
  <c r="D5" i="9"/>
  <c r="C35" i="2"/>
  <c r="H35" i="2"/>
  <c r="G35" i="2"/>
  <c r="F35" i="2"/>
  <c r="E35" i="2"/>
  <c r="D35" i="2"/>
  <c r="F23" i="2"/>
  <c r="E23" i="2"/>
  <c r="D23" i="2"/>
  <c r="C23" i="2"/>
  <c r="H23" i="2"/>
  <c r="G23" i="2"/>
  <c r="C6" i="2"/>
  <c r="G6" i="2"/>
  <c r="D6" i="2"/>
  <c r="F6" i="2"/>
  <c r="E6" i="2"/>
  <c r="H6" i="2"/>
  <c r="C5" i="7"/>
  <c r="G5" i="7"/>
  <c r="H5" i="7"/>
  <c r="F5" i="7"/>
  <c r="D5" i="7"/>
  <c r="E5" i="7"/>
  <c r="C10" i="7"/>
  <c r="D10" i="7"/>
  <c r="H10" i="7"/>
  <c r="G10" i="7"/>
  <c r="F10" i="7"/>
  <c r="E10" i="7"/>
  <c r="C35" i="7"/>
  <c r="H35" i="7"/>
  <c r="G35" i="7"/>
  <c r="F35" i="7"/>
  <c r="E35" i="7"/>
  <c r="D35" i="7"/>
  <c r="H21" i="2"/>
  <c r="G21" i="2"/>
  <c r="F21" i="2"/>
  <c r="C21" i="2"/>
  <c r="E21" i="2"/>
  <c r="D21" i="2"/>
  <c r="G5" i="11"/>
  <c r="F5" i="11"/>
  <c r="D5" i="11"/>
  <c r="C5" i="11"/>
  <c r="H5" i="11"/>
  <c r="E5" i="11"/>
  <c r="F19" i="9"/>
  <c r="H19" i="9"/>
  <c r="E19" i="9"/>
  <c r="C19" i="9"/>
  <c r="G19" i="9"/>
  <c r="D19" i="9"/>
  <c r="C6" i="7"/>
  <c r="D6" i="7"/>
  <c r="G6" i="7"/>
  <c r="F6" i="7"/>
  <c r="E6" i="7"/>
  <c r="H6" i="7"/>
  <c r="H38" i="7"/>
  <c r="G38" i="7"/>
  <c r="F38" i="7"/>
  <c r="E38" i="7"/>
  <c r="D38" i="7"/>
  <c r="C38" i="7"/>
  <c r="D7" i="9"/>
  <c r="H7" i="9"/>
  <c r="G7" i="9"/>
  <c r="E7" i="9"/>
  <c r="F7" i="9"/>
  <c r="C7" i="9"/>
  <c r="D33" i="9"/>
  <c r="H33" i="9"/>
  <c r="G33" i="9"/>
  <c r="E33" i="9"/>
  <c r="F33" i="9"/>
  <c r="C33" i="9"/>
  <c r="H23" i="7"/>
  <c r="G23" i="7"/>
  <c r="F23" i="7"/>
  <c r="E23" i="7"/>
  <c r="C23" i="7"/>
  <c r="D23" i="7"/>
  <c r="C6" i="9"/>
  <c r="D6" i="9"/>
  <c r="G6" i="9"/>
  <c r="F6" i="9"/>
  <c r="E6" i="9"/>
  <c r="H6" i="9"/>
  <c r="D7" i="2"/>
  <c r="H7" i="2"/>
  <c r="G7" i="2"/>
  <c r="E7" i="2"/>
  <c r="C7" i="2"/>
  <c r="F7" i="2"/>
  <c r="E19" i="2"/>
  <c r="H19" i="2"/>
  <c r="G19" i="2"/>
  <c r="F19" i="2"/>
  <c r="D19" i="2"/>
  <c r="C19" i="2"/>
  <c r="C35" i="11"/>
  <c r="H35" i="11"/>
  <c r="G35" i="11"/>
  <c r="F35" i="11"/>
  <c r="E35" i="11"/>
  <c r="D35" i="11"/>
  <c r="F34" i="9"/>
  <c r="G34" i="9"/>
  <c r="E34" i="9"/>
  <c r="D34" i="9"/>
  <c r="H34" i="9"/>
  <c r="C34" i="9"/>
  <c r="F36" i="7"/>
  <c r="H36" i="7"/>
  <c r="C36" i="7"/>
  <c r="G36" i="7"/>
  <c r="E36" i="7"/>
  <c r="D36" i="7"/>
  <c r="H47" i="2"/>
  <c r="C47" i="2"/>
  <c r="G47" i="2"/>
  <c r="F47" i="2"/>
  <c r="E47" i="2"/>
  <c r="D47" i="2"/>
  <c r="H47" i="11"/>
  <c r="G47" i="11"/>
  <c r="F47" i="11"/>
  <c r="E47" i="11"/>
  <c r="D47" i="11"/>
  <c r="C47" i="11"/>
  <c r="C50" i="11"/>
  <c r="H50" i="11"/>
  <c r="G50" i="11"/>
  <c r="F50" i="11"/>
  <c r="E50" i="11"/>
  <c r="D50" i="11"/>
  <c r="H24" i="9"/>
  <c r="E24" i="9"/>
  <c r="G24" i="9"/>
  <c r="D24" i="9"/>
  <c r="F24" i="9"/>
  <c r="C24" i="9"/>
  <c r="E24" i="7"/>
  <c r="D24" i="7"/>
  <c r="H24" i="7"/>
  <c r="G24" i="7"/>
  <c r="F24" i="7"/>
  <c r="C24" i="7"/>
  <c r="E50" i="9"/>
  <c r="D50" i="9"/>
  <c r="H50" i="9"/>
  <c r="G50" i="9"/>
  <c r="F50" i="9"/>
  <c r="C50" i="9"/>
  <c r="C8" i="2"/>
  <c r="F8" i="2"/>
  <c r="H8" i="2"/>
  <c r="D8" i="2"/>
  <c r="E8" i="2"/>
  <c r="G8" i="2"/>
  <c r="E10" i="9"/>
  <c r="H10" i="9"/>
  <c r="D10" i="9"/>
  <c r="G10" i="9"/>
  <c r="F10" i="9"/>
  <c r="C10" i="9"/>
  <c r="C33" i="11"/>
  <c r="F33" i="11"/>
  <c r="H33" i="11"/>
  <c r="G33" i="11"/>
  <c r="E33" i="11"/>
  <c r="D33" i="11"/>
  <c r="G37" i="2"/>
  <c r="C37" i="2"/>
  <c r="E37" i="2"/>
  <c r="D37" i="2"/>
  <c r="F37" i="2"/>
  <c r="H37" i="2"/>
  <c r="D51" i="7"/>
  <c r="C51" i="7"/>
  <c r="H51" i="7"/>
  <c r="G51" i="7"/>
  <c r="F51" i="7"/>
  <c r="E51" i="7"/>
  <c r="H38" i="2"/>
  <c r="G38" i="2"/>
  <c r="F38" i="2"/>
  <c r="E38" i="2"/>
  <c r="C38" i="2"/>
  <c r="D38" i="2"/>
  <c r="E34" i="7"/>
  <c r="D34" i="7"/>
  <c r="C34" i="7"/>
  <c r="F34" i="7"/>
  <c r="H34" i="7"/>
  <c r="G34" i="7"/>
  <c r="E34" i="2"/>
  <c r="D34" i="2"/>
  <c r="C34" i="2"/>
  <c r="G34" i="2"/>
  <c r="F34" i="2"/>
  <c r="H34" i="2"/>
  <c r="F50" i="7"/>
  <c r="H50" i="7"/>
  <c r="G50" i="7"/>
  <c r="C50" i="7"/>
  <c r="E50" i="7"/>
  <c r="D50" i="7"/>
  <c r="D51" i="11"/>
  <c r="C51" i="11"/>
  <c r="H51" i="11"/>
  <c r="G51" i="11"/>
  <c r="F51" i="11"/>
  <c r="E51" i="11"/>
  <c r="D49" i="2"/>
  <c r="E49" i="2"/>
  <c r="F49" i="2"/>
  <c r="H49" i="2"/>
  <c r="G49" i="2"/>
  <c r="C49" i="2"/>
  <c r="H24" i="11"/>
  <c r="G24" i="11"/>
  <c r="F24" i="11"/>
  <c r="E24" i="11"/>
  <c r="D24" i="11"/>
  <c r="C24" i="11"/>
  <c r="G51" i="9"/>
  <c r="F51" i="9"/>
  <c r="D51" i="9"/>
  <c r="C51" i="9"/>
  <c r="H51" i="9"/>
  <c r="E51" i="9"/>
  <c r="F8" i="7"/>
  <c r="C8" i="7"/>
  <c r="G8" i="7"/>
  <c r="H8" i="7"/>
  <c r="E8" i="7"/>
  <c r="D8" i="7"/>
  <c r="E20" i="2"/>
  <c r="D20" i="2"/>
  <c r="G20" i="2"/>
  <c r="F20" i="2"/>
  <c r="H20" i="2"/>
  <c r="C20" i="2"/>
  <c r="C52" i="2"/>
  <c r="H52" i="2"/>
  <c r="G52" i="2"/>
  <c r="F52" i="2"/>
  <c r="E52" i="2"/>
  <c r="D52" i="2"/>
  <c r="C33" i="2"/>
  <c r="H33" i="2"/>
  <c r="G33" i="2"/>
  <c r="E33" i="2"/>
  <c r="D33" i="2"/>
  <c r="F33" i="2"/>
  <c r="E22" i="7"/>
  <c r="G22" i="7"/>
  <c r="C22" i="7"/>
  <c r="F22" i="7"/>
  <c r="H22" i="7"/>
  <c r="D22" i="7"/>
  <c r="C19" i="11"/>
  <c r="F19" i="11"/>
  <c r="H19" i="11"/>
  <c r="G19" i="11"/>
  <c r="E19" i="11"/>
  <c r="D19" i="11"/>
  <c r="E52" i="7"/>
  <c r="F52" i="7"/>
  <c r="C52" i="7"/>
  <c r="H52" i="7"/>
  <c r="G52" i="7"/>
  <c r="D52" i="7"/>
  <c r="G9" i="2"/>
  <c r="F9" i="2"/>
  <c r="E9" i="2"/>
  <c r="D9" i="2"/>
  <c r="C9" i="2"/>
  <c r="H9" i="2"/>
  <c r="D51" i="2"/>
  <c r="C51" i="2"/>
  <c r="G51" i="2"/>
  <c r="H51" i="2"/>
  <c r="F51" i="2"/>
  <c r="E51" i="2"/>
  <c r="C36" i="9"/>
  <c r="H36" i="9"/>
  <c r="G36" i="9"/>
  <c r="F36" i="9"/>
  <c r="E36" i="9"/>
  <c r="D36" i="9"/>
  <c r="C23" i="11"/>
  <c r="G23" i="11"/>
  <c r="F23" i="11"/>
  <c r="D23" i="11"/>
  <c r="E23" i="11"/>
  <c r="H23" i="11"/>
  <c r="H48" i="9"/>
  <c r="G48" i="9"/>
  <c r="D48" i="9"/>
  <c r="E48" i="9"/>
  <c r="C48" i="9"/>
  <c r="F48" i="9"/>
  <c r="H22" i="9"/>
  <c r="G22" i="9"/>
  <c r="F22" i="9"/>
  <c r="E22" i="9"/>
  <c r="D22" i="9"/>
  <c r="C22" i="9"/>
  <c r="E7" i="11"/>
  <c r="D7" i="11"/>
  <c r="H7" i="11"/>
  <c r="G7" i="11"/>
  <c r="F7" i="11"/>
  <c r="C7" i="11"/>
  <c r="G6" i="11"/>
  <c r="F6" i="11"/>
  <c r="H6" i="11"/>
  <c r="E6" i="11"/>
  <c r="D6" i="11"/>
  <c r="C6" i="11"/>
  <c r="E9" i="11"/>
  <c r="D9" i="11"/>
  <c r="G9" i="11"/>
  <c r="H9" i="11"/>
  <c r="F9" i="11"/>
  <c r="C9" i="11"/>
  <c r="G48" i="7"/>
  <c r="D48" i="7"/>
  <c r="E48" i="7"/>
  <c r="C48" i="7"/>
  <c r="H48" i="7"/>
  <c r="F48" i="7"/>
  <c r="G48" i="2"/>
  <c r="E48" i="2"/>
  <c r="H48" i="2"/>
  <c r="D48" i="2"/>
  <c r="F48" i="2"/>
  <c r="C48" i="2"/>
  <c r="H21" i="7"/>
  <c r="G21" i="7"/>
  <c r="F21" i="7"/>
  <c r="C21" i="7"/>
  <c r="E21" i="7"/>
  <c r="D21" i="7"/>
  <c r="H50" i="2"/>
  <c r="G50" i="2"/>
  <c r="C50" i="2"/>
  <c r="F50" i="2"/>
  <c r="E50" i="2"/>
  <c r="D50" i="2"/>
  <c r="G5" i="2"/>
  <c r="C5" i="2"/>
  <c r="H5" i="2"/>
  <c r="F5" i="2"/>
  <c r="D5" i="2"/>
  <c r="E5" i="2"/>
  <c r="F23" i="9"/>
  <c r="E23" i="9"/>
  <c r="D23" i="9"/>
  <c r="C23" i="9"/>
  <c r="H23" i="9"/>
  <c r="G23" i="9"/>
  <c r="C10" i="11"/>
  <c r="F10" i="11"/>
  <c r="E10" i="11"/>
  <c r="H10" i="11"/>
  <c r="G10" i="11"/>
  <c r="D10" i="11"/>
  <c r="H19" i="7"/>
  <c r="G19" i="7"/>
  <c r="E19" i="7"/>
  <c r="F19" i="7"/>
  <c r="D19" i="7"/>
  <c r="C19" i="7"/>
  <c r="C8" i="11"/>
  <c r="H8" i="11"/>
  <c r="F8" i="11"/>
  <c r="E8" i="11"/>
  <c r="D8" i="11"/>
  <c r="G8" i="11"/>
  <c r="C37" i="9"/>
  <c r="E37" i="9"/>
  <c r="D37" i="9"/>
  <c r="H37" i="9"/>
  <c r="G37" i="9"/>
  <c r="F37" i="9"/>
  <c r="D38" i="11"/>
  <c r="H38" i="11"/>
  <c r="G38" i="11"/>
  <c r="F38" i="11"/>
  <c r="E38" i="11"/>
  <c r="C38" i="11"/>
  <c r="D49" i="7"/>
  <c r="E49" i="7"/>
  <c r="H49" i="7"/>
  <c r="G49" i="7"/>
  <c r="F49" i="7"/>
  <c r="C49" i="7"/>
  <c r="C8" i="9"/>
  <c r="H8" i="9"/>
  <c r="G8" i="9"/>
  <c r="F8" i="9"/>
  <c r="E8" i="9"/>
  <c r="D8" i="9"/>
  <c r="C48" i="11"/>
  <c r="H48" i="11"/>
  <c r="G48" i="11"/>
  <c r="E48" i="11"/>
  <c r="D48" i="11"/>
  <c r="F48" i="11"/>
  <c r="H38" i="9"/>
  <c r="G38" i="9"/>
  <c r="F38" i="9"/>
  <c r="E38" i="9"/>
  <c r="D38" i="9"/>
  <c r="C38" i="9"/>
  <c r="D24" i="2"/>
  <c r="C24" i="2"/>
  <c r="H24" i="2"/>
  <c r="G24" i="2"/>
  <c r="E24" i="2"/>
  <c r="F24" i="2"/>
  <c r="G34" i="11"/>
  <c r="H34" i="11"/>
  <c r="E34" i="11"/>
  <c r="D34" i="11"/>
  <c r="C34" i="11"/>
  <c r="F34" i="11"/>
  <c r="H52" i="11"/>
  <c r="G52" i="11"/>
  <c r="D52" i="11"/>
  <c r="F52" i="11"/>
  <c r="E52" i="11"/>
  <c r="C52" i="11"/>
  <c r="H9" i="7"/>
  <c r="G9" i="7"/>
  <c r="F9" i="7"/>
  <c r="E9" i="7"/>
  <c r="D9" i="7"/>
  <c r="C9" i="7"/>
  <c r="H49" i="11"/>
  <c r="C49" i="11"/>
  <c r="G49" i="11"/>
  <c r="F49" i="11"/>
  <c r="E49" i="11"/>
  <c r="D49" i="11"/>
  <c r="G36" i="2"/>
  <c r="E36" i="2"/>
  <c r="F36" i="2"/>
  <c r="D36" i="2"/>
  <c r="H36" i="2"/>
  <c r="C36" i="2"/>
  <c r="H22" i="2"/>
  <c r="D22" i="2"/>
  <c r="E22" i="2"/>
  <c r="C22" i="2"/>
  <c r="F22" i="2"/>
  <c r="G22" i="2"/>
  <c r="F10" i="2"/>
  <c r="E10" i="2"/>
  <c r="C10" i="2"/>
  <c r="H10" i="2"/>
  <c r="G10" i="2"/>
  <c r="D10" i="2"/>
  <c r="H22" i="11"/>
  <c r="G22" i="11"/>
  <c r="F22" i="11"/>
  <c r="E22" i="11"/>
  <c r="D22" i="11"/>
  <c r="C22" i="11"/>
  <c r="F33" i="7"/>
  <c r="H33" i="7"/>
  <c r="G33" i="7"/>
  <c r="E33" i="7"/>
  <c r="D33" i="7"/>
  <c r="C33" i="7"/>
  <c r="H47" i="9"/>
  <c r="G47" i="9"/>
  <c r="F47" i="9"/>
  <c r="E47" i="9"/>
  <c r="D47" i="9"/>
  <c r="C47" i="9"/>
  <c r="D9" i="9"/>
  <c r="G9" i="9"/>
  <c r="H9" i="9"/>
  <c r="F9" i="9"/>
  <c r="E9" i="9"/>
  <c r="C9" i="9"/>
  <c r="C49" i="9"/>
  <c r="H49" i="9"/>
  <c r="G49" i="9"/>
  <c r="F49" i="9"/>
  <c r="E49" i="9"/>
  <c r="D49" i="9"/>
  <c r="F20" i="11"/>
  <c r="E20" i="11"/>
  <c r="D20" i="11"/>
  <c r="C20" i="11"/>
  <c r="H20" i="11"/>
  <c r="G20" i="11"/>
  <c r="G36" i="11"/>
  <c r="C36" i="11"/>
  <c r="F36" i="11"/>
  <c r="E36" i="11"/>
  <c r="H36" i="11"/>
  <c r="D36" i="11"/>
</calcChain>
</file>

<file path=xl/sharedStrings.xml><?xml version="1.0" encoding="utf-8"?>
<sst xmlns="http://schemas.openxmlformats.org/spreadsheetml/2006/main" count="436" uniqueCount="53">
  <si>
    <t>남</t>
  </si>
  <si>
    <t>순</t>
  </si>
  <si>
    <t>이름</t>
  </si>
  <si>
    <t>생년월일</t>
  </si>
  <si>
    <t>성적</t>
  </si>
  <si>
    <t>영어</t>
  </si>
  <si>
    <t>중/일</t>
  </si>
  <si>
    <t>비고</t>
  </si>
  <si>
    <t>(4단계)</t>
  </si>
  <si>
    <t>(E1~E8)</t>
  </si>
  <si>
    <t>※ 비고란에는 교직원 자녀, 同名異人, 쌍둥이, 부진아(P) 등 참고할 만한 내용 간단히 기록</t>
  </si>
  <si>
    <t>여</t>
  </si>
  <si>
    <t>2025년</t>
  </si>
  <si>
    <t>2024년</t>
  </si>
  <si>
    <t>영어(4단계)</t>
  </si>
  <si>
    <t>제2외국어</t>
  </si>
  <si>
    <t>학력 수준(4단계)</t>
  </si>
  <si>
    <t>재적수</t>
  </si>
  <si>
    <t>신 학반</t>
  </si>
  <si>
    <t>현 학반</t>
  </si>
  <si>
    <t>E1/E2</t>
  </si>
  <si>
    <t>E3/E4</t>
  </si>
  <si>
    <t>E5/E6</t>
  </si>
  <si>
    <t>E7/E8</t>
  </si>
  <si>
    <t>계</t>
  </si>
  <si>
    <t>중</t>
  </si>
  <si>
    <t>일</t>
  </si>
  <si>
    <t>4(상)</t>
  </si>
  <si>
    <t>3(중상)</t>
  </si>
  <si>
    <t>2(중)</t>
  </si>
  <si>
    <t>1(하)</t>
  </si>
  <si>
    <t>P(부진)</t>
  </si>
  <si>
    <t>○의 A</t>
  </si>
  <si>
    <t>○ 의 1</t>
  </si>
  <si>
    <t>○ 의 2</t>
  </si>
  <si>
    <t>○ 의 3</t>
  </si>
  <si>
    <t>○ 의 4</t>
  </si>
  <si>
    <t>○의 B</t>
  </si>
  <si>
    <t>○의 C</t>
  </si>
  <si>
    <t>○의 D</t>
  </si>
  <si>
    <t>합계</t>
  </si>
  <si>
    <t>○ - 1</t>
  </si>
  <si>
    <t>○ - 2</t>
  </si>
  <si>
    <t>○ - 3</t>
  </si>
  <si>
    <t>○ - 4</t>
  </si>
  <si>
    <t>번호</t>
  </si>
  <si>
    <t xml:space="preserve">진급반 </t>
  </si>
  <si>
    <t>(     ) 학년   (     )  반  학급 개편 자료</t>
  </si>
  <si>
    <t>중/일/스</t>
  </si>
  <si>
    <t>특이(학력부진, 쌍둥이, 교원자녀, 전출예정, 생활 등)</t>
  </si>
  <si>
    <t>그룹</t>
  </si>
  <si>
    <t>(가~라)</t>
  </si>
  <si>
    <t>2026학년도 진급학년 학반발표(2025학년도 3학년)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</si>
</sst>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b/>
      <sz val="13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2"/>
      <color rgb="FFFF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000000"/>
      <name val="돋움"/>
      <family val="3"/>
      <charset val="129"/>
    </font>
    <font>
      <sz val="20"/>
      <color theme="1"/>
      <name val="맑은 고딕"/>
      <family val="3"/>
      <charset val="129"/>
      <scheme val="minor"/>
    </font>
    <font>
      <b/>
      <sz val="12"/>
      <color rgb="FF000000"/>
      <name val="한컴돋움"/>
      <family val="1"/>
      <charset val="129"/>
    </font>
    <font>
      <sz val="10"/>
      <color rgb="FF000000"/>
      <name val="함초롬바탕"/>
      <family val="1"/>
      <charset val="129"/>
    </font>
    <font>
      <sz val="11"/>
      <color rgb="FF000000"/>
      <name val="함초롬바탕"/>
      <family val="1"/>
      <charset val="129"/>
    </font>
    <font>
      <b/>
      <sz val="11"/>
      <color rgb="FF000000"/>
      <name val="함초롬바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rgb="FFFAFABF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CDF2E4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ck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2" fontId="1" fillId="0" borderId="0">
      <alignment vertical="center"/>
    </xf>
  </cellStyleXfs>
  <cellXfs count="115">
    <xf numFmtId="0" fontId="0" fillId="0" borderId="0" xfId="0">
      <alignment vertical="center"/>
    </xf>
    <xf numFmtId="0" fontId="0" fillId="0" borderId="0" xfId="0" applyAlignment="1"/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3" fillId="5" borderId="43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3" fillId="5" borderId="49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0" fillId="0" borderId="0" xfId="1" applyNumberFormat="1" applyFont="1">
      <alignment vertical="center"/>
    </xf>
    <xf numFmtId="0" fontId="14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5" borderId="54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5" borderId="55" xfId="0" applyFont="1" applyFill="1" applyBorder="1" applyAlignment="1">
      <alignment horizontal="center" vertical="center" wrapText="1"/>
    </xf>
    <xf numFmtId="0" fontId="3" fillId="5" borderId="56" xfId="0" applyFont="1" applyFill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/>
    <xf numFmtId="0" fontId="3" fillId="0" borderId="2" xfId="0" applyFont="1" applyBorder="1" applyAlignment="1">
      <alignment horizontal="center" vertical="center" wrapText="1"/>
    </xf>
    <xf numFmtId="0" fontId="0" fillId="0" borderId="5" xfId="0" applyBorder="1" applyAlignment="1"/>
    <xf numFmtId="0" fontId="3" fillId="0" borderId="3" xfId="0" applyFont="1" applyBorder="1" applyAlignment="1">
      <alignment horizontal="center" vertical="center" wrapText="1"/>
    </xf>
    <xf numFmtId="0" fontId="0" fillId="0" borderId="7" xfId="0" applyBorder="1" applyAlignment="1"/>
    <xf numFmtId="0" fontId="7" fillId="0" borderId="16" xfId="0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23" xfId="0" applyBorder="1" applyAlignment="1"/>
    <xf numFmtId="0" fontId="0" fillId="0" borderId="31" xfId="0" applyBorder="1" applyAlignment="1"/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/>
    <xf numFmtId="0" fontId="0" fillId="0" borderId="15" xfId="0" applyBorder="1" applyAlignment="1"/>
    <xf numFmtId="0" fontId="3" fillId="0" borderId="38" xfId="0" applyFont="1" applyBorder="1" applyAlignment="1">
      <alignment horizontal="center" vertical="center" wrapText="1"/>
    </xf>
    <xf numFmtId="0" fontId="0" fillId="0" borderId="41" xfId="0" applyBorder="1" applyAlignment="1"/>
    <xf numFmtId="0" fontId="3" fillId="0" borderId="37" xfId="0" applyFont="1" applyBorder="1" applyAlignment="1">
      <alignment horizontal="center" vertical="center" wrapText="1"/>
    </xf>
    <xf numFmtId="0" fontId="0" fillId="0" borderId="40" xfId="0" applyBorder="1" applyAlignment="1"/>
    <xf numFmtId="0" fontId="13" fillId="0" borderId="0" xfId="0" applyFont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0" fillId="0" borderId="34" xfId="0" applyBorder="1" applyAlignment="1"/>
    <xf numFmtId="0" fontId="0" fillId="0" borderId="36" xfId="0" applyBorder="1" applyAlignment="1"/>
    <xf numFmtId="0" fontId="14" fillId="0" borderId="35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0" fillId="0" borderId="59" xfId="0" applyBorder="1" applyAlignment="1"/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</cellXfs>
  <cellStyles count="2">
    <cellStyle name="통화 [0] 2" xfId="1" xr:uid="{700998E5-2143-4774-9766-9D664604DDE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/Desktop/4&#48152;&#51004;&#47196;%20&#48152;&#54200;&#49457;/&#51088;&#47308;&#51221;&#47532;_&#52572;&#51333;&#483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명부"/>
      <sheetName val="그룹인원분배"/>
      <sheetName val="반편성"/>
      <sheetName val="학생 데이터 입력"/>
      <sheetName val="1반 남"/>
      <sheetName val="1반 여"/>
      <sheetName val="2반 남"/>
      <sheetName val="2반 여"/>
      <sheetName val="3반 남"/>
      <sheetName val="3반 여"/>
      <sheetName val="4반 남"/>
      <sheetName val="4반 여"/>
      <sheetName val="통계표"/>
      <sheetName val="전체"/>
      <sheetName val="학급별 1반"/>
      <sheetName val="학급별 2반"/>
      <sheetName val="학급별 3반"/>
      <sheetName val="학급별 4반"/>
      <sheetName val="Sheet11"/>
      <sheetName val="Sheet12"/>
    </sheetNames>
    <sheetDataSet>
      <sheetData sheetId="0"/>
      <sheetData sheetId="1"/>
      <sheetData sheetId="2"/>
      <sheetData sheetId="3">
        <row r="2">
          <cell r="A2">
            <v>4101</v>
          </cell>
          <cell r="B2">
            <v>1</v>
          </cell>
          <cell r="C2" t="str">
            <v>권윤</v>
          </cell>
          <cell r="D2">
            <v>1</v>
          </cell>
          <cell r="E2" t="str">
            <v/>
          </cell>
          <cell r="I2" t="str">
            <v>여</v>
          </cell>
        </row>
        <row r="3">
          <cell r="A3">
            <v>4102</v>
          </cell>
          <cell r="B3">
            <v>2</v>
          </cell>
          <cell r="C3" t="str">
            <v>김보민</v>
          </cell>
          <cell r="D3">
            <v>1</v>
          </cell>
          <cell r="E3" t="str">
            <v/>
          </cell>
          <cell r="I3" t="str">
            <v>여</v>
          </cell>
        </row>
        <row r="4">
          <cell r="A4">
            <v>4103</v>
          </cell>
          <cell r="B4">
            <v>3</v>
          </cell>
          <cell r="C4" t="str">
            <v>김샤론</v>
          </cell>
          <cell r="D4">
            <v>1</v>
          </cell>
          <cell r="E4" t="str">
            <v/>
          </cell>
          <cell r="I4" t="str">
            <v>여</v>
          </cell>
        </row>
        <row r="5">
          <cell r="A5">
            <v>4104</v>
          </cell>
          <cell r="B5">
            <v>4</v>
          </cell>
          <cell r="C5" t="str">
            <v>김세은</v>
          </cell>
          <cell r="D5">
            <v>1</v>
          </cell>
          <cell r="E5" t="str">
            <v/>
          </cell>
          <cell r="I5" t="str">
            <v>여</v>
          </cell>
        </row>
        <row r="6">
          <cell r="A6">
            <v>4105</v>
          </cell>
          <cell r="B6">
            <v>5</v>
          </cell>
          <cell r="C6" t="str">
            <v>김주하</v>
          </cell>
          <cell r="D6">
            <v>1</v>
          </cell>
          <cell r="E6" t="str">
            <v/>
          </cell>
          <cell r="I6" t="str">
            <v>여</v>
          </cell>
        </row>
        <row r="7">
          <cell r="A7">
            <v>4106</v>
          </cell>
          <cell r="B7">
            <v>6</v>
          </cell>
          <cell r="C7" t="str">
            <v>배채윤</v>
          </cell>
          <cell r="D7">
            <v>1</v>
          </cell>
          <cell r="E7" t="str">
            <v/>
          </cell>
          <cell r="I7" t="str">
            <v>여</v>
          </cell>
        </row>
        <row r="8">
          <cell r="A8">
            <v>4107</v>
          </cell>
          <cell r="B8">
            <v>7</v>
          </cell>
          <cell r="C8" t="str">
            <v>서지유</v>
          </cell>
          <cell r="D8">
            <v>1</v>
          </cell>
          <cell r="E8" t="str">
            <v/>
          </cell>
          <cell r="I8" t="str">
            <v>여</v>
          </cell>
        </row>
        <row r="9">
          <cell r="A9">
            <v>4108</v>
          </cell>
          <cell r="B9">
            <v>8</v>
          </cell>
          <cell r="C9" t="str">
            <v>손예은</v>
          </cell>
          <cell r="D9">
            <v>1</v>
          </cell>
          <cell r="E9" t="str">
            <v/>
          </cell>
          <cell r="I9" t="str">
            <v>여</v>
          </cell>
        </row>
        <row r="10">
          <cell r="A10">
            <v>4109</v>
          </cell>
          <cell r="B10">
            <v>9</v>
          </cell>
          <cell r="C10" t="str">
            <v>이소정</v>
          </cell>
          <cell r="D10">
            <v>1</v>
          </cell>
          <cell r="E10" t="str">
            <v/>
          </cell>
          <cell r="I10" t="str">
            <v>여</v>
          </cell>
        </row>
        <row r="11">
          <cell r="A11">
            <v>4110</v>
          </cell>
          <cell r="B11">
            <v>10</v>
          </cell>
          <cell r="C11" t="str">
            <v>이지오</v>
          </cell>
          <cell r="D11">
            <v>1</v>
          </cell>
          <cell r="E11" t="str">
            <v/>
          </cell>
          <cell r="I11" t="str">
            <v>여</v>
          </cell>
        </row>
        <row r="12">
          <cell r="A12">
            <v>4111</v>
          </cell>
          <cell r="B12">
            <v>11</v>
          </cell>
          <cell r="C12" t="str">
            <v>이지우</v>
          </cell>
          <cell r="D12">
            <v>1</v>
          </cell>
          <cell r="E12" t="str">
            <v/>
          </cell>
          <cell r="I12" t="str">
            <v>여</v>
          </cell>
        </row>
        <row r="13">
          <cell r="A13">
            <v>4112</v>
          </cell>
          <cell r="B13">
            <v>12</v>
          </cell>
          <cell r="C13" t="str">
            <v>장윤서</v>
          </cell>
          <cell r="D13">
            <v>1</v>
          </cell>
          <cell r="E13" t="str">
            <v/>
          </cell>
          <cell r="I13" t="str">
            <v>여</v>
          </cell>
        </row>
        <row r="14">
          <cell r="A14">
            <v>4114</v>
          </cell>
          <cell r="B14">
            <v>14</v>
          </cell>
          <cell r="C14" t="str">
            <v>정제니</v>
          </cell>
          <cell r="D14">
            <v>1</v>
          </cell>
          <cell r="E14" t="str">
            <v/>
          </cell>
          <cell r="I14" t="str">
            <v>여</v>
          </cell>
        </row>
        <row r="15">
          <cell r="A15">
            <v>4115</v>
          </cell>
          <cell r="B15">
            <v>15</v>
          </cell>
          <cell r="C15" t="str">
            <v>최지안</v>
          </cell>
          <cell r="D15">
            <v>1</v>
          </cell>
          <cell r="E15" t="str">
            <v/>
          </cell>
          <cell r="I15" t="str">
            <v>여</v>
          </cell>
        </row>
        <row r="16">
          <cell r="A16">
            <v>4141</v>
          </cell>
          <cell r="B16">
            <v>41</v>
          </cell>
          <cell r="C16" t="str">
            <v>강가온</v>
          </cell>
          <cell r="D16">
            <v>1</v>
          </cell>
          <cell r="E16" t="str">
            <v/>
          </cell>
          <cell r="I16" t="str">
            <v>남</v>
          </cell>
        </row>
        <row r="17">
          <cell r="A17">
            <v>4142</v>
          </cell>
          <cell r="B17">
            <v>42</v>
          </cell>
          <cell r="C17" t="str">
            <v>김주한</v>
          </cell>
          <cell r="D17">
            <v>1</v>
          </cell>
          <cell r="E17" t="str">
            <v/>
          </cell>
          <cell r="I17" t="str">
            <v>남</v>
          </cell>
        </row>
        <row r="18">
          <cell r="A18">
            <v>4143</v>
          </cell>
          <cell r="B18">
            <v>43</v>
          </cell>
          <cell r="C18" t="str">
            <v>김지호</v>
          </cell>
          <cell r="D18">
            <v>1</v>
          </cell>
          <cell r="E18" t="str">
            <v/>
          </cell>
          <cell r="I18" t="str">
            <v>남</v>
          </cell>
        </row>
        <row r="19">
          <cell r="A19">
            <v>4144</v>
          </cell>
          <cell r="B19">
            <v>44</v>
          </cell>
          <cell r="C19" t="str">
            <v>김태준</v>
          </cell>
          <cell r="D19">
            <v>1</v>
          </cell>
          <cell r="E19" t="str">
            <v/>
          </cell>
          <cell r="I19" t="str">
            <v>남</v>
          </cell>
        </row>
        <row r="20">
          <cell r="A20">
            <v>4145</v>
          </cell>
          <cell r="B20">
            <v>45</v>
          </cell>
          <cell r="C20" t="str">
            <v>박성빈</v>
          </cell>
          <cell r="D20">
            <v>1</v>
          </cell>
          <cell r="E20" t="str">
            <v/>
          </cell>
          <cell r="I20" t="str">
            <v>남</v>
          </cell>
        </row>
        <row r="21">
          <cell r="A21">
            <v>4146</v>
          </cell>
          <cell r="B21">
            <v>46</v>
          </cell>
          <cell r="C21" t="str">
            <v>배현준</v>
          </cell>
          <cell r="D21">
            <v>1</v>
          </cell>
          <cell r="E21" t="str">
            <v/>
          </cell>
          <cell r="I21" t="str">
            <v>남</v>
          </cell>
        </row>
        <row r="22">
          <cell r="A22">
            <v>4147</v>
          </cell>
          <cell r="B22">
            <v>47</v>
          </cell>
          <cell r="C22" t="str">
            <v>안이수</v>
          </cell>
          <cell r="D22">
            <v>1</v>
          </cell>
          <cell r="E22" t="str">
            <v/>
          </cell>
          <cell r="I22" t="str">
            <v>남</v>
          </cell>
        </row>
        <row r="23">
          <cell r="A23">
            <v>4148</v>
          </cell>
          <cell r="B23">
            <v>48</v>
          </cell>
          <cell r="C23" t="str">
            <v>우정훈</v>
          </cell>
          <cell r="D23">
            <v>1</v>
          </cell>
          <cell r="E23" t="str">
            <v/>
          </cell>
          <cell r="I23" t="str">
            <v>남</v>
          </cell>
        </row>
        <row r="24">
          <cell r="A24">
            <v>4149</v>
          </cell>
          <cell r="B24">
            <v>49</v>
          </cell>
          <cell r="C24" t="str">
            <v>윤재이</v>
          </cell>
          <cell r="D24">
            <v>1</v>
          </cell>
          <cell r="E24" t="str">
            <v/>
          </cell>
          <cell r="I24" t="str">
            <v>남</v>
          </cell>
        </row>
        <row r="25">
          <cell r="A25">
            <v>4150</v>
          </cell>
          <cell r="B25">
            <v>50</v>
          </cell>
          <cell r="C25" t="str">
            <v>이상협</v>
          </cell>
          <cell r="D25">
            <v>1</v>
          </cell>
          <cell r="E25" t="str">
            <v/>
          </cell>
          <cell r="I25" t="str">
            <v>남</v>
          </cell>
        </row>
        <row r="26">
          <cell r="A26">
            <v>4151</v>
          </cell>
          <cell r="B26">
            <v>51</v>
          </cell>
          <cell r="C26" t="str">
            <v>임규빈</v>
          </cell>
          <cell r="D26">
            <v>1</v>
          </cell>
          <cell r="E26" t="str">
            <v/>
          </cell>
          <cell r="I26" t="str">
            <v>남</v>
          </cell>
        </row>
        <row r="27">
          <cell r="A27">
            <v>4152</v>
          </cell>
          <cell r="B27">
            <v>52</v>
          </cell>
          <cell r="C27" t="str">
            <v>장한울</v>
          </cell>
          <cell r="D27">
            <v>1</v>
          </cell>
          <cell r="E27" t="str">
            <v/>
          </cell>
          <cell r="I27" t="str">
            <v>남</v>
          </cell>
        </row>
        <row r="28">
          <cell r="A28">
            <v>4153</v>
          </cell>
          <cell r="B28">
            <v>53</v>
          </cell>
          <cell r="C28" t="str">
            <v>정채현</v>
          </cell>
          <cell r="D28">
            <v>1</v>
          </cell>
          <cell r="E28" t="str">
            <v/>
          </cell>
          <cell r="I28" t="str">
            <v>남</v>
          </cell>
        </row>
        <row r="29">
          <cell r="A29">
            <v>4154</v>
          </cell>
          <cell r="B29">
            <v>54</v>
          </cell>
          <cell r="C29" t="str">
            <v>차건호</v>
          </cell>
          <cell r="D29">
            <v>1</v>
          </cell>
          <cell r="E29" t="str">
            <v/>
          </cell>
          <cell r="I29" t="str">
            <v>남</v>
          </cell>
        </row>
        <row r="30">
          <cell r="A30">
            <v>4156</v>
          </cell>
          <cell r="B30">
            <v>56</v>
          </cell>
          <cell r="C30" t="str">
            <v>최현오</v>
          </cell>
          <cell r="D30">
            <v>1</v>
          </cell>
          <cell r="E30" t="str">
            <v/>
          </cell>
          <cell r="I30" t="str">
            <v>남</v>
          </cell>
        </row>
        <row r="31">
          <cell r="A31">
            <v>4157</v>
          </cell>
          <cell r="B31">
            <v>57</v>
          </cell>
          <cell r="C31" t="str">
            <v>한민호</v>
          </cell>
          <cell r="D31">
            <v>1</v>
          </cell>
          <cell r="E31" t="str">
            <v/>
          </cell>
          <cell r="I31" t="str">
            <v>남</v>
          </cell>
        </row>
        <row r="32">
          <cell r="A32">
            <v>4201</v>
          </cell>
          <cell r="B32">
            <v>1</v>
          </cell>
          <cell r="C32" t="str">
            <v>김나윤</v>
          </cell>
          <cell r="D32">
            <v>2</v>
          </cell>
          <cell r="E32" t="str">
            <v/>
          </cell>
          <cell r="I32" t="str">
            <v>여</v>
          </cell>
        </row>
        <row r="33">
          <cell r="A33">
            <v>4202</v>
          </cell>
          <cell r="B33">
            <v>2</v>
          </cell>
          <cell r="C33" t="str">
            <v>김도연</v>
          </cell>
          <cell r="D33">
            <v>2</v>
          </cell>
          <cell r="E33" t="str">
            <v/>
          </cell>
          <cell r="I33" t="str">
            <v>여</v>
          </cell>
        </row>
        <row r="34">
          <cell r="A34">
            <v>4203</v>
          </cell>
          <cell r="B34">
            <v>3</v>
          </cell>
          <cell r="C34" t="str">
            <v>김소윤</v>
          </cell>
          <cell r="D34">
            <v>2</v>
          </cell>
          <cell r="E34" t="str">
            <v/>
          </cell>
          <cell r="I34" t="str">
            <v>여</v>
          </cell>
        </row>
        <row r="35">
          <cell r="A35">
            <v>4204</v>
          </cell>
          <cell r="B35">
            <v>4</v>
          </cell>
          <cell r="C35" t="str">
            <v>김하헌</v>
          </cell>
          <cell r="D35">
            <v>2</v>
          </cell>
          <cell r="E35" t="str">
            <v/>
          </cell>
          <cell r="I35" t="str">
            <v>여</v>
          </cell>
        </row>
        <row r="36">
          <cell r="A36">
            <v>4205</v>
          </cell>
          <cell r="B36">
            <v>5</v>
          </cell>
          <cell r="C36" t="str">
            <v>박주원</v>
          </cell>
          <cell r="D36">
            <v>2</v>
          </cell>
          <cell r="E36" t="str">
            <v/>
          </cell>
          <cell r="I36" t="str">
            <v>여</v>
          </cell>
        </row>
        <row r="37">
          <cell r="A37">
            <v>4207</v>
          </cell>
          <cell r="B37">
            <v>7</v>
          </cell>
          <cell r="C37" t="str">
            <v>손지우</v>
          </cell>
          <cell r="D37">
            <v>2</v>
          </cell>
          <cell r="E37" t="str">
            <v/>
          </cell>
          <cell r="I37" t="str">
            <v>여</v>
          </cell>
        </row>
        <row r="38">
          <cell r="A38">
            <v>4208</v>
          </cell>
          <cell r="B38">
            <v>8</v>
          </cell>
          <cell r="C38" t="str">
            <v>이다인</v>
          </cell>
          <cell r="D38">
            <v>2</v>
          </cell>
          <cell r="E38" t="str">
            <v/>
          </cell>
          <cell r="I38" t="str">
            <v>여</v>
          </cell>
        </row>
        <row r="39">
          <cell r="A39">
            <v>4209</v>
          </cell>
          <cell r="B39">
            <v>9</v>
          </cell>
          <cell r="C39" t="str">
            <v>이연서</v>
          </cell>
          <cell r="D39">
            <v>2</v>
          </cell>
          <cell r="E39" t="str">
            <v/>
          </cell>
          <cell r="I39" t="str">
            <v>여</v>
          </cell>
        </row>
        <row r="40">
          <cell r="A40">
            <v>4210</v>
          </cell>
          <cell r="B40">
            <v>10</v>
          </cell>
          <cell r="C40" t="str">
            <v>전유나</v>
          </cell>
          <cell r="D40">
            <v>2</v>
          </cell>
          <cell r="E40" t="str">
            <v/>
          </cell>
          <cell r="I40" t="str">
            <v>여</v>
          </cell>
        </row>
        <row r="41">
          <cell r="A41">
            <v>4211</v>
          </cell>
          <cell r="B41">
            <v>11</v>
          </cell>
          <cell r="C41" t="str">
            <v>전윤하</v>
          </cell>
          <cell r="D41">
            <v>2</v>
          </cell>
          <cell r="E41" t="str">
            <v/>
          </cell>
          <cell r="I41" t="str">
            <v>여</v>
          </cell>
        </row>
        <row r="42">
          <cell r="A42">
            <v>4212</v>
          </cell>
          <cell r="B42">
            <v>12</v>
          </cell>
          <cell r="C42" t="str">
            <v>전은송</v>
          </cell>
          <cell r="D42">
            <v>2</v>
          </cell>
          <cell r="E42" t="str">
            <v/>
          </cell>
          <cell r="I42" t="str">
            <v>여</v>
          </cell>
        </row>
        <row r="43">
          <cell r="A43">
            <v>4213</v>
          </cell>
          <cell r="B43">
            <v>13</v>
          </cell>
          <cell r="C43" t="str">
            <v>진예담</v>
          </cell>
          <cell r="D43">
            <v>2</v>
          </cell>
          <cell r="E43" t="str">
            <v/>
          </cell>
          <cell r="I43" t="str">
            <v>여</v>
          </cell>
        </row>
        <row r="44">
          <cell r="A44">
            <v>4214</v>
          </cell>
          <cell r="B44">
            <v>14</v>
          </cell>
          <cell r="C44" t="str">
            <v>탁혜윰</v>
          </cell>
          <cell r="D44">
            <v>2</v>
          </cell>
          <cell r="E44" t="str">
            <v/>
          </cell>
          <cell r="I44" t="str">
            <v>여</v>
          </cell>
        </row>
        <row r="45">
          <cell r="A45">
            <v>4215</v>
          </cell>
          <cell r="B45">
            <v>15</v>
          </cell>
          <cell r="C45" t="str">
            <v>서은유</v>
          </cell>
          <cell r="D45">
            <v>2</v>
          </cell>
          <cell r="E45" t="str">
            <v/>
          </cell>
          <cell r="I45" t="str">
            <v>여</v>
          </cell>
        </row>
        <row r="46">
          <cell r="A46">
            <v>4241</v>
          </cell>
          <cell r="B46">
            <v>41</v>
          </cell>
          <cell r="C46" t="str">
            <v>강민석</v>
          </cell>
          <cell r="D46">
            <v>2</v>
          </cell>
          <cell r="E46" t="str">
            <v/>
          </cell>
          <cell r="I46" t="str">
            <v>남</v>
          </cell>
        </row>
        <row r="47">
          <cell r="A47">
            <v>4242</v>
          </cell>
          <cell r="B47">
            <v>42</v>
          </cell>
          <cell r="C47" t="str">
            <v>강현진</v>
          </cell>
          <cell r="D47">
            <v>2</v>
          </cell>
          <cell r="E47" t="str">
            <v/>
          </cell>
          <cell r="I47" t="str">
            <v>남</v>
          </cell>
        </row>
        <row r="48">
          <cell r="A48">
            <v>4243</v>
          </cell>
          <cell r="B48">
            <v>43</v>
          </cell>
          <cell r="C48" t="str">
            <v>권규민</v>
          </cell>
          <cell r="D48">
            <v>2</v>
          </cell>
          <cell r="E48" t="str">
            <v/>
          </cell>
          <cell r="I48" t="str">
            <v>남</v>
          </cell>
        </row>
        <row r="49">
          <cell r="A49">
            <v>4244</v>
          </cell>
          <cell r="B49">
            <v>44</v>
          </cell>
          <cell r="C49" t="str">
            <v>김준희</v>
          </cell>
          <cell r="D49">
            <v>2</v>
          </cell>
          <cell r="E49" t="str">
            <v/>
          </cell>
          <cell r="I49" t="str">
            <v>남</v>
          </cell>
        </row>
        <row r="50">
          <cell r="A50">
            <v>4245</v>
          </cell>
          <cell r="B50">
            <v>45</v>
          </cell>
          <cell r="C50" t="str">
            <v>성시후</v>
          </cell>
          <cell r="D50">
            <v>2</v>
          </cell>
          <cell r="E50" t="str">
            <v/>
          </cell>
          <cell r="I50" t="str">
            <v>남</v>
          </cell>
        </row>
        <row r="51">
          <cell r="A51">
            <v>4246</v>
          </cell>
          <cell r="B51">
            <v>46</v>
          </cell>
          <cell r="C51" t="str">
            <v>안수완</v>
          </cell>
          <cell r="D51">
            <v>2</v>
          </cell>
          <cell r="E51" t="str">
            <v/>
          </cell>
          <cell r="I51" t="str">
            <v>남</v>
          </cell>
        </row>
        <row r="52">
          <cell r="A52">
            <v>4247</v>
          </cell>
          <cell r="B52">
            <v>47</v>
          </cell>
          <cell r="C52" t="str">
            <v>예도윤</v>
          </cell>
          <cell r="D52">
            <v>2</v>
          </cell>
          <cell r="E52" t="str">
            <v/>
          </cell>
          <cell r="I52" t="str">
            <v>남</v>
          </cell>
        </row>
        <row r="53">
          <cell r="A53">
            <v>4248</v>
          </cell>
          <cell r="B53">
            <v>48</v>
          </cell>
          <cell r="C53" t="str">
            <v>옥다원</v>
          </cell>
          <cell r="D53">
            <v>2</v>
          </cell>
          <cell r="E53" t="str">
            <v/>
          </cell>
          <cell r="I53" t="str">
            <v>남</v>
          </cell>
        </row>
        <row r="54">
          <cell r="A54">
            <v>4249</v>
          </cell>
          <cell r="B54">
            <v>49</v>
          </cell>
          <cell r="C54" t="str">
            <v>우예현</v>
          </cell>
          <cell r="D54">
            <v>2</v>
          </cell>
          <cell r="E54" t="str">
            <v/>
          </cell>
          <cell r="I54" t="str">
            <v>남</v>
          </cell>
        </row>
        <row r="55">
          <cell r="A55">
            <v>4250</v>
          </cell>
          <cell r="B55">
            <v>50</v>
          </cell>
          <cell r="C55" t="str">
            <v>윤재하</v>
          </cell>
          <cell r="D55">
            <v>2</v>
          </cell>
          <cell r="E55" t="str">
            <v/>
          </cell>
          <cell r="I55" t="str">
            <v>남</v>
          </cell>
        </row>
        <row r="56">
          <cell r="A56">
            <v>4251</v>
          </cell>
          <cell r="B56">
            <v>51</v>
          </cell>
          <cell r="C56" t="str">
            <v>이서우</v>
          </cell>
          <cell r="D56">
            <v>2</v>
          </cell>
          <cell r="E56" t="str">
            <v/>
          </cell>
          <cell r="I56" t="str">
            <v>남</v>
          </cell>
        </row>
        <row r="57">
          <cell r="A57">
            <v>4252</v>
          </cell>
          <cell r="B57">
            <v>52</v>
          </cell>
          <cell r="C57" t="str">
            <v>전하준</v>
          </cell>
          <cell r="D57">
            <v>2</v>
          </cell>
          <cell r="E57" t="str">
            <v/>
          </cell>
          <cell r="I57" t="str">
            <v>남</v>
          </cell>
        </row>
        <row r="58">
          <cell r="A58">
            <v>4253</v>
          </cell>
          <cell r="B58">
            <v>53</v>
          </cell>
          <cell r="C58" t="str">
            <v>조연우</v>
          </cell>
          <cell r="D58">
            <v>2</v>
          </cell>
          <cell r="E58" t="str">
            <v/>
          </cell>
          <cell r="I58" t="str">
            <v>남</v>
          </cell>
        </row>
        <row r="59">
          <cell r="A59">
            <v>4254</v>
          </cell>
          <cell r="B59">
            <v>54</v>
          </cell>
          <cell r="C59" t="str">
            <v>최동하</v>
          </cell>
          <cell r="D59">
            <v>2</v>
          </cell>
          <cell r="E59" t="str">
            <v/>
          </cell>
          <cell r="I59" t="str">
            <v>남</v>
          </cell>
        </row>
        <row r="60">
          <cell r="A60">
            <v>4255</v>
          </cell>
          <cell r="B60">
            <v>55</v>
          </cell>
          <cell r="C60" t="str">
            <v>최이현</v>
          </cell>
          <cell r="D60">
            <v>2</v>
          </cell>
          <cell r="E60" t="str">
            <v/>
          </cell>
          <cell r="I60" t="str">
            <v>남</v>
          </cell>
        </row>
        <row r="61">
          <cell r="A61">
            <v>4256</v>
          </cell>
          <cell r="B61">
            <v>56</v>
          </cell>
          <cell r="C61" t="str">
            <v>황유준</v>
          </cell>
          <cell r="D61">
            <v>2</v>
          </cell>
          <cell r="E61" t="str">
            <v/>
          </cell>
          <cell r="I61" t="str">
            <v>남</v>
          </cell>
        </row>
        <row r="62">
          <cell r="A62">
            <v>4302</v>
          </cell>
          <cell r="B62">
            <v>2</v>
          </cell>
          <cell r="C62" t="str">
            <v>김민영</v>
          </cell>
          <cell r="D62">
            <v>3</v>
          </cell>
          <cell r="E62" t="str">
            <v/>
          </cell>
          <cell r="I62" t="str">
            <v>여</v>
          </cell>
        </row>
        <row r="63">
          <cell r="A63">
            <v>4303</v>
          </cell>
          <cell r="B63">
            <v>3</v>
          </cell>
          <cell r="C63" t="str">
            <v>노서윤</v>
          </cell>
          <cell r="D63">
            <v>3</v>
          </cell>
          <cell r="E63" t="str">
            <v/>
          </cell>
          <cell r="I63" t="str">
            <v>여</v>
          </cell>
        </row>
        <row r="64">
          <cell r="A64">
            <v>4304</v>
          </cell>
          <cell r="B64">
            <v>4</v>
          </cell>
          <cell r="C64" t="str">
            <v>문주하</v>
          </cell>
          <cell r="D64">
            <v>3</v>
          </cell>
          <cell r="E64" t="str">
            <v/>
          </cell>
          <cell r="I64" t="str">
            <v>여</v>
          </cell>
        </row>
        <row r="65">
          <cell r="A65">
            <v>4305</v>
          </cell>
          <cell r="B65">
            <v>5</v>
          </cell>
          <cell r="C65" t="str">
            <v>박유빈</v>
          </cell>
          <cell r="D65">
            <v>3</v>
          </cell>
          <cell r="E65" t="str">
            <v/>
          </cell>
          <cell r="I65" t="str">
            <v>여</v>
          </cell>
        </row>
        <row r="66">
          <cell r="A66">
            <v>4306</v>
          </cell>
          <cell r="B66">
            <v>6</v>
          </cell>
          <cell r="C66" t="str">
            <v>송연서</v>
          </cell>
          <cell r="D66">
            <v>3</v>
          </cell>
          <cell r="E66" t="str">
            <v/>
          </cell>
          <cell r="I66" t="str">
            <v>여</v>
          </cell>
        </row>
        <row r="67">
          <cell r="A67">
            <v>4307</v>
          </cell>
          <cell r="B67">
            <v>7</v>
          </cell>
          <cell r="C67" t="str">
            <v>오채희</v>
          </cell>
          <cell r="D67">
            <v>3</v>
          </cell>
          <cell r="E67" t="str">
            <v/>
          </cell>
          <cell r="I67" t="str">
            <v>여</v>
          </cell>
        </row>
        <row r="68">
          <cell r="A68">
            <v>4308</v>
          </cell>
          <cell r="B68">
            <v>8</v>
          </cell>
          <cell r="C68" t="str">
            <v>유서연</v>
          </cell>
          <cell r="D68">
            <v>3</v>
          </cell>
          <cell r="E68" t="str">
            <v/>
          </cell>
          <cell r="I68" t="str">
            <v>여</v>
          </cell>
        </row>
        <row r="69">
          <cell r="A69">
            <v>4309</v>
          </cell>
          <cell r="B69">
            <v>9</v>
          </cell>
          <cell r="C69" t="str">
            <v>유지민</v>
          </cell>
          <cell r="D69">
            <v>3</v>
          </cell>
          <cell r="E69" t="str">
            <v/>
          </cell>
          <cell r="I69" t="str">
            <v>여</v>
          </cell>
        </row>
        <row r="70">
          <cell r="A70">
            <v>4310</v>
          </cell>
          <cell r="B70">
            <v>10</v>
          </cell>
          <cell r="C70" t="str">
            <v>이소민</v>
          </cell>
          <cell r="D70">
            <v>3</v>
          </cell>
          <cell r="E70" t="str">
            <v/>
          </cell>
          <cell r="I70" t="str">
            <v>여</v>
          </cell>
        </row>
        <row r="71">
          <cell r="A71">
            <v>4311</v>
          </cell>
          <cell r="B71">
            <v>11</v>
          </cell>
          <cell r="C71" t="str">
            <v>최서윤</v>
          </cell>
          <cell r="D71">
            <v>3</v>
          </cell>
          <cell r="E71" t="str">
            <v/>
          </cell>
          <cell r="I71" t="str">
            <v>여</v>
          </cell>
        </row>
        <row r="72">
          <cell r="A72">
            <v>4312</v>
          </cell>
          <cell r="B72">
            <v>12</v>
          </cell>
          <cell r="C72" t="str">
            <v>최연우</v>
          </cell>
          <cell r="D72">
            <v>3</v>
          </cell>
          <cell r="E72" t="str">
            <v/>
          </cell>
          <cell r="I72" t="str">
            <v>여</v>
          </cell>
        </row>
        <row r="73">
          <cell r="A73">
            <v>4313</v>
          </cell>
          <cell r="B73">
            <v>13</v>
          </cell>
          <cell r="C73" t="str">
            <v>최정원</v>
          </cell>
          <cell r="D73">
            <v>3</v>
          </cell>
          <cell r="E73" t="str">
            <v/>
          </cell>
          <cell r="I73" t="str">
            <v>여</v>
          </cell>
        </row>
        <row r="74">
          <cell r="A74">
            <v>4314</v>
          </cell>
          <cell r="B74">
            <v>14</v>
          </cell>
          <cell r="C74" t="str">
            <v>이수아</v>
          </cell>
          <cell r="D74">
            <v>3</v>
          </cell>
          <cell r="E74" t="str">
            <v/>
          </cell>
          <cell r="I74" t="str">
            <v>여</v>
          </cell>
        </row>
        <row r="75">
          <cell r="A75">
            <v>4315</v>
          </cell>
          <cell r="B75">
            <v>15</v>
          </cell>
          <cell r="C75" t="str">
            <v>안선우</v>
          </cell>
          <cell r="D75">
            <v>3</v>
          </cell>
          <cell r="E75" t="str">
            <v/>
          </cell>
          <cell r="I75" t="str">
            <v>여</v>
          </cell>
        </row>
        <row r="76">
          <cell r="A76">
            <v>4342</v>
          </cell>
          <cell r="B76">
            <v>42</v>
          </cell>
          <cell r="C76" t="str">
            <v>김이삭</v>
          </cell>
          <cell r="D76">
            <v>3</v>
          </cell>
          <cell r="E76" t="str">
            <v/>
          </cell>
          <cell r="I76" t="str">
            <v>남</v>
          </cell>
        </row>
        <row r="77">
          <cell r="A77">
            <v>4343</v>
          </cell>
          <cell r="B77">
            <v>43</v>
          </cell>
          <cell r="C77" t="str">
            <v>김정언</v>
          </cell>
          <cell r="D77">
            <v>3</v>
          </cell>
          <cell r="E77" t="str">
            <v/>
          </cell>
          <cell r="I77" t="str">
            <v>남</v>
          </cell>
        </row>
        <row r="78">
          <cell r="A78">
            <v>4344</v>
          </cell>
          <cell r="B78">
            <v>44</v>
          </cell>
          <cell r="C78" t="str">
            <v>김지오</v>
          </cell>
          <cell r="D78">
            <v>3</v>
          </cell>
          <cell r="E78" t="str">
            <v/>
          </cell>
          <cell r="I78" t="str">
            <v>남</v>
          </cell>
        </row>
        <row r="79">
          <cell r="A79">
            <v>4345</v>
          </cell>
          <cell r="B79">
            <v>45</v>
          </cell>
          <cell r="C79" t="str">
            <v>김지후</v>
          </cell>
          <cell r="D79">
            <v>3</v>
          </cell>
          <cell r="E79" t="str">
            <v/>
          </cell>
          <cell r="I79" t="str">
            <v>남</v>
          </cell>
        </row>
        <row r="80">
          <cell r="A80">
            <v>4346</v>
          </cell>
          <cell r="B80">
            <v>46</v>
          </cell>
          <cell r="C80" t="str">
            <v>김채운</v>
          </cell>
          <cell r="D80">
            <v>3</v>
          </cell>
          <cell r="E80" t="str">
            <v/>
          </cell>
          <cell r="I80" t="str">
            <v>남</v>
          </cell>
        </row>
        <row r="81">
          <cell r="A81">
            <v>4347</v>
          </cell>
          <cell r="B81">
            <v>47</v>
          </cell>
          <cell r="C81" t="str">
            <v>김태민</v>
          </cell>
          <cell r="D81">
            <v>3</v>
          </cell>
          <cell r="E81" t="str">
            <v/>
          </cell>
          <cell r="I81" t="str">
            <v>남</v>
          </cell>
        </row>
        <row r="82">
          <cell r="A82">
            <v>4348</v>
          </cell>
          <cell r="B82">
            <v>48</v>
          </cell>
          <cell r="C82" t="str">
            <v>류연준</v>
          </cell>
          <cell r="D82">
            <v>3</v>
          </cell>
          <cell r="E82" t="str">
            <v/>
          </cell>
          <cell r="I82" t="str">
            <v>남</v>
          </cell>
        </row>
        <row r="83">
          <cell r="A83">
            <v>4349</v>
          </cell>
          <cell r="B83">
            <v>49</v>
          </cell>
          <cell r="C83" t="str">
            <v>신유준</v>
          </cell>
          <cell r="D83">
            <v>3</v>
          </cell>
          <cell r="E83" t="str">
            <v/>
          </cell>
          <cell r="I83" t="str">
            <v>남</v>
          </cell>
        </row>
        <row r="84">
          <cell r="A84">
            <v>4350</v>
          </cell>
          <cell r="B84">
            <v>50</v>
          </cell>
          <cell r="C84" t="str">
            <v>이도현</v>
          </cell>
          <cell r="D84">
            <v>3</v>
          </cell>
          <cell r="E84" t="str">
            <v/>
          </cell>
          <cell r="I84" t="str">
            <v>남</v>
          </cell>
        </row>
        <row r="85">
          <cell r="A85">
            <v>4351</v>
          </cell>
          <cell r="B85">
            <v>51</v>
          </cell>
          <cell r="C85" t="str">
            <v>이승현</v>
          </cell>
          <cell r="D85">
            <v>3</v>
          </cell>
          <cell r="E85" t="str">
            <v/>
          </cell>
          <cell r="I85" t="str">
            <v>남</v>
          </cell>
        </row>
        <row r="86">
          <cell r="A86">
            <v>4352</v>
          </cell>
          <cell r="B86">
            <v>52</v>
          </cell>
          <cell r="C86" t="str">
            <v>이준영</v>
          </cell>
          <cell r="D86">
            <v>3</v>
          </cell>
          <cell r="E86" t="str">
            <v/>
          </cell>
          <cell r="I86" t="str">
            <v>남</v>
          </cell>
        </row>
        <row r="87">
          <cell r="A87">
            <v>4353</v>
          </cell>
          <cell r="B87">
            <v>53</v>
          </cell>
          <cell r="C87" t="str">
            <v>정지훈</v>
          </cell>
          <cell r="D87">
            <v>3</v>
          </cell>
          <cell r="E87" t="str">
            <v/>
          </cell>
          <cell r="I87" t="str">
            <v>남</v>
          </cell>
        </row>
        <row r="88">
          <cell r="A88">
            <v>4354</v>
          </cell>
          <cell r="B88">
            <v>54</v>
          </cell>
          <cell r="C88" t="str">
            <v>조윤우</v>
          </cell>
          <cell r="D88">
            <v>3</v>
          </cell>
          <cell r="E88" t="str">
            <v/>
          </cell>
          <cell r="I88" t="str">
            <v>남</v>
          </cell>
        </row>
        <row r="89">
          <cell r="A89">
            <v>4355</v>
          </cell>
          <cell r="B89">
            <v>55</v>
          </cell>
          <cell r="C89" t="str">
            <v>최윤호</v>
          </cell>
          <cell r="D89">
            <v>3</v>
          </cell>
          <cell r="E89" t="str">
            <v/>
          </cell>
          <cell r="I89" t="str">
            <v>남</v>
          </cell>
        </row>
        <row r="90">
          <cell r="A90">
            <v>4356</v>
          </cell>
          <cell r="B90">
            <v>56</v>
          </cell>
          <cell r="C90" t="str">
            <v>최준호</v>
          </cell>
          <cell r="D90">
            <v>3</v>
          </cell>
          <cell r="E90" t="str">
            <v/>
          </cell>
          <cell r="I90" t="str">
            <v>남</v>
          </cell>
        </row>
        <row r="91">
          <cell r="A91">
            <v>4401</v>
          </cell>
          <cell r="B91">
            <v>1</v>
          </cell>
          <cell r="C91" t="str">
            <v>김가빈</v>
          </cell>
          <cell r="D91">
            <v>4</v>
          </cell>
          <cell r="E91" t="str">
            <v/>
          </cell>
          <cell r="I91" t="str">
            <v>여</v>
          </cell>
        </row>
        <row r="92">
          <cell r="A92">
            <v>4402</v>
          </cell>
          <cell r="B92">
            <v>2</v>
          </cell>
          <cell r="C92" t="str">
            <v>김라원</v>
          </cell>
          <cell r="D92">
            <v>4</v>
          </cell>
          <cell r="E92" t="str">
            <v/>
          </cell>
          <cell r="I92" t="str">
            <v>여</v>
          </cell>
        </row>
        <row r="93">
          <cell r="A93">
            <v>4403</v>
          </cell>
          <cell r="B93">
            <v>3</v>
          </cell>
          <cell r="C93" t="str">
            <v>김서은</v>
          </cell>
          <cell r="D93">
            <v>4</v>
          </cell>
          <cell r="E93" t="str">
            <v/>
          </cell>
          <cell r="I93" t="str">
            <v>여</v>
          </cell>
        </row>
        <row r="94">
          <cell r="A94">
            <v>4404</v>
          </cell>
          <cell r="B94">
            <v>4</v>
          </cell>
          <cell r="C94" t="str">
            <v>김서인</v>
          </cell>
          <cell r="D94">
            <v>4</v>
          </cell>
          <cell r="E94" t="str">
            <v/>
          </cell>
          <cell r="I94" t="str">
            <v>여</v>
          </cell>
        </row>
        <row r="95">
          <cell r="A95">
            <v>4405</v>
          </cell>
          <cell r="B95">
            <v>5</v>
          </cell>
          <cell r="C95" t="str">
            <v>남유지</v>
          </cell>
          <cell r="D95">
            <v>4</v>
          </cell>
          <cell r="E95" t="str">
            <v/>
          </cell>
          <cell r="I95" t="str">
            <v>여</v>
          </cell>
        </row>
        <row r="96">
          <cell r="A96">
            <v>4406</v>
          </cell>
          <cell r="B96">
            <v>6</v>
          </cell>
          <cell r="C96" t="str">
            <v>박예지</v>
          </cell>
          <cell r="D96">
            <v>4</v>
          </cell>
          <cell r="E96" t="str">
            <v/>
          </cell>
          <cell r="I96" t="str">
            <v>여</v>
          </cell>
        </row>
        <row r="97">
          <cell r="A97">
            <v>4407</v>
          </cell>
          <cell r="B97">
            <v>7</v>
          </cell>
          <cell r="C97" t="str">
            <v>손윤하</v>
          </cell>
          <cell r="D97">
            <v>4</v>
          </cell>
          <cell r="E97" t="str">
            <v/>
          </cell>
          <cell r="I97" t="str">
            <v>여</v>
          </cell>
        </row>
        <row r="98">
          <cell r="A98">
            <v>4408</v>
          </cell>
          <cell r="B98">
            <v>8</v>
          </cell>
          <cell r="C98" t="str">
            <v>이서연</v>
          </cell>
          <cell r="D98">
            <v>4</v>
          </cell>
          <cell r="E98" t="str">
            <v/>
          </cell>
          <cell r="I98" t="str">
            <v>여</v>
          </cell>
        </row>
        <row r="99">
          <cell r="A99">
            <v>4409</v>
          </cell>
          <cell r="B99">
            <v>9</v>
          </cell>
          <cell r="C99" t="str">
            <v>이연재</v>
          </cell>
          <cell r="D99">
            <v>4</v>
          </cell>
          <cell r="E99" t="str">
            <v/>
          </cell>
          <cell r="I99" t="str">
            <v>여</v>
          </cell>
        </row>
        <row r="100">
          <cell r="A100">
            <v>4411</v>
          </cell>
          <cell r="B100">
            <v>11</v>
          </cell>
          <cell r="C100" t="str">
            <v>이윤서</v>
          </cell>
          <cell r="D100">
            <v>4</v>
          </cell>
          <cell r="E100" t="str">
            <v/>
          </cell>
          <cell r="I100" t="str">
            <v>여</v>
          </cell>
        </row>
        <row r="101">
          <cell r="A101">
            <v>4412</v>
          </cell>
          <cell r="B101">
            <v>12</v>
          </cell>
          <cell r="C101" t="str">
            <v>이지선</v>
          </cell>
          <cell r="D101">
            <v>4</v>
          </cell>
          <cell r="E101" t="str">
            <v/>
          </cell>
          <cell r="I101" t="str">
            <v>여</v>
          </cell>
        </row>
        <row r="102">
          <cell r="A102">
            <v>4413</v>
          </cell>
          <cell r="B102">
            <v>13</v>
          </cell>
          <cell r="C102" t="str">
            <v>이지우</v>
          </cell>
          <cell r="D102">
            <v>4</v>
          </cell>
          <cell r="E102" t="str">
            <v/>
          </cell>
          <cell r="I102" t="str">
            <v>여</v>
          </cell>
        </row>
        <row r="103">
          <cell r="A103">
            <v>4414</v>
          </cell>
          <cell r="B103">
            <v>14</v>
          </cell>
          <cell r="C103" t="str">
            <v>조채이</v>
          </cell>
          <cell r="D103">
            <v>4</v>
          </cell>
          <cell r="E103" t="str">
            <v/>
          </cell>
          <cell r="I103" t="str">
            <v>여</v>
          </cell>
        </row>
        <row r="104">
          <cell r="A104">
            <v>4416</v>
          </cell>
          <cell r="B104">
            <v>16</v>
          </cell>
          <cell r="C104" t="str">
            <v>장소율</v>
          </cell>
          <cell r="D104">
            <v>4</v>
          </cell>
          <cell r="E104" t="str">
            <v/>
          </cell>
          <cell r="I104" t="str">
            <v>여</v>
          </cell>
        </row>
        <row r="105">
          <cell r="A105">
            <v>4417</v>
          </cell>
          <cell r="B105">
            <v>17</v>
          </cell>
          <cell r="C105" t="str">
            <v>이세영</v>
          </cell>
          <cell r="D105">
            <v>4</v>
          </cell>
          <cell r="E105" t="str">
            <v/>
          </cell>
          <cell r="I105" t="str">
            <v>여</v>
          </cell>
        </row>
        <row r="106">
          <cell r="A106">
            <v>4441</v>
          </cell>
          <cell r="B106">
            <v>41</v>
          </cell>
          <cell r="C106" t="str">
            <v>권준혁</v>
          </cell>
          <cell r="D106">
            <v>4</v>
          </cell>
          <cell r="E106" t="str">
            <v/>
          </cell>
          <cell r="I106" t="str">
            <v>남</v>
          </cell>
        </row>
        <row r="107">
          <cell r="A107">
            <v>4442</v>
          </cell>
          <cell r="B107">
            <v>42</v>
          </cell>
          <cell r="C107" t="str">
            <v>김건우</v>
          </cell>
          <cell r="D107">
            <v>4</v>
          </cell>
          <cell r="E107" t="str">
            <v/>
          </cell>
          <cell r="I107" t="str">
            <v>남</v>
          </cell>
        </row>
        <row r="108">
          <cell r="A108">
            <v>4443</v>
          </cell>
          <cell r="B108">
            <v>43</v>
          </cell>
          <cell r="C108" t="str">
            <v>김도윤</v>
          </cell>
          <cell r="D108">
            <v>4</v>
          </cell>
          <cell r="E108" t="str">
            <v/>
          </cell>
          <cell r="I108" t="str">
            <v>남</v>
          </cell>
        </row>
        <row r="109">
          <cell r="A109">
            <v>4444</v>
          </cell>
          <cell r="B109">
            <v>44</v>
          </cell>
          <cell r="C109" t="str">
            <v>배예준</v>
          </cell>
          <cell r="D109">
            <v>4</v>
          </cell>
          <cell r="E109" t="str">
            <v/>
          </cell>
          <cell r="I109" t="str">
            <v>남</v>
          </cell>
        </row>
        <row r="110">
          <cell r="A110">
            <v>4445</v>
          </cell>
          <cell r="B110">
            <v>45</v>
          </cell>
          <cell r="C110" t="str">
            <v>손이한</v>
          </cell>
          <cell r="D110">
            <v>4</v>
          </cell>
          <cell r="E110" t="str">
            <v/>
          </cell>
          <cell r="I110" t="str">
            <v>남</v>
          </cell>
        </row>
        <row r="111">
          <cell r="A111">
            <v>4446</v>
          </cell>
          <cell r="B111">
            <v>46</v>
          </cell>
          <cell r="C111" t="str">
            <v>신지안</v>
          </cell>
          <cell r="D111">
            <v>4</v>
          </cell>
          <cell r="E111" t="str">
            <v/>
          </cell>
          <cell r="I111" t="str">
            <v>남</v>
          </cell>
        </row>
        <row r="112">
          <cell r="A112">
            <v>4447</v>
          </cell>
          <cell r="B112">
            <v>47</v>
          </cell>
          <cell r="C112" t="str">
            <v>양리안</v>
          </cell>
          <cell r="D112">
            <v>4</v>
          </cell>
          <cell r="E112" t="str">
            <v/>
          </cell>
          <cell r="I112" t="str">
            <v>남</v>
          </cell>
        </row>
        <row r="113">
          <cell r="A113">
            <v>4448</v>
          </cell>
          <cell r="B113">
            <v>48</v>
          </cell>
          <cell r="C113" t="str">
            <v>이윤승</v>
          </cell>
          <cell r="D113">
            <v>4</v>
          </cell>
          <cell r="E113" t="str">
            <v/>
          </cell>
          <cell r="I113" t="str">
            <v>남</v>
          </cell>
        </row>
        <row r="114">
          <cell r="A114">
            <v>4449</v>
          </cell>
          <cell r="B114">
            <v>49</v>
          </cell>
          <cell r="C114" t="str">
            <v>임서준</v>
          </cell>
          <cell r="D114">
            <v>4</v>
          </cell>
          <cell r="E114" t="str">
            <v/>
          </cell>
          <cell r="I114" t="str">
            <v>남</v>
          </cell>
        </row>
        <row r="115">
          <cell r="A115">
            <v>4450</v>
          </cell>
          <cell r="B115">
            <v>50</v>
          </cell>
          <cell r="C115" t="str">
            <v>정승민</v>
          </cell>
          <cell r="D115">
            <v>4</v>
          </cell>
          <cell r="E115" t="str">
            <v/>
          </cell>
          <cell r="I115" t="str">
            <v>남</v>
          </cell>
        </row>
        <row r="116">
          <cell r="A116">
            <v>4451</v>
          </cell>
          <cell r="B116">
            <v>51</v>
          </cell>
          <cell r="C116" t="str">
            <v>조현성</v>
          </cell>
          <cell r="D116">
            <v>4</v>
          </cell>
          <cell r="E116" t="str">
            <v/>
          </cell>
          <cell r="I116" t="str">
            <v>남</v>
          </cell>
        </row>
        <row r="117">
          <cell r="A117">
            <v>4452</v>
          </cell>
          <cell r="B117">
            <v>52</v>
          </cell>
          <cell r="C117" t="str">
            <v>천지훈</v>
          </cell>
          <cell r="D117">
            <v>4</v>
          </cell>
          <cell r="E117" t="str">
            <v/>
          </cell>
          <cell r="I117" t="str">
            <v>남</v>
          </cell>
        </row>
        <row r="118">
          <cell r="A118">
            <v>4453</v>
          </cell>
          <cell r="B118">
            <v>53</v>
          </cell>
          <cell r="C118" t="str">
            <v>천호준</v>
          </cell>
          <cell r="D118">
            <v>4</v>
          </cell>
          <cell r="E118" t="str">
            <v/>
          </cell>
          <cell r="I118" t="str">
            <v>남</v>
          </cell>
        </row>
        <row r="119">
          <cell r="A119">
            <v>4454</v>
          </cell>
          <cell r="B119">
            <v>54</v>
          </cell>
          <cell r="C119" t="str">
            <v>최호은</v>
          </cell>
          <cell r="D119">
            <v>4</v>
          </cell>
          <cell r="E119" t="str">
            <v/>
          </cell>
          <cell r="I119" t="str">
            <v>남</v>
          </cell>
        </row>
        <row r="120">
          <cell r="A120">
            <v>4455</v>
          </cell>
          <cell r="B120">
            <v>55</v>
          </cell>
          <cell r="C120" t="str">
            <v>황윤호</v>
          </cell>
          <cell r="D120">
            <v>4</v>
          </cell>
          <cell r="E120" t="str">
            <v/>
          </cell>
          <cell r="I120" t="str">
            <v>남</v>
          </cell>
        </row>
        <row r="121">
          <cell r="A121">
            <v>3453</v>
          </cell>
          <cell r="B121">
            <v>53</v>
          </cell>
          <cell r="C121" t="str">
            <v>최연우</v>
          </cell>
          <cell r="D121">
            <v>4</v>
          </cell>
          <cell r="E121" t="str">
            <v/>
          </cell>
          <cell r="I121" t="str">
            <v>남</v>
          </cell>
        </row>
        <row r="122">
          <cell r="A122">
            <v>3454</v>
          </cell>
          <cell r="B122">
            <v>54</v>
          </cell>
          <cell r="C122" t="str">
            <v>최지안</v>
          </cell>
          <cell r="D122">
            <v>4</v>
          </cell>
          <cell r="E122" t="str">
            <v/>
          </cell>
          <cell r="I122" t="str">
            <v>남</v>
          </cell>
        </row>
        <row r="123">
          <cell r="A123">
            <v>3455</v>
          </cell>
          <cell r="B123">
            <v>55</v>
          </cell>
          <cell r="C123" t="str">
            <v>권윤</v>
          </cell>
          <cell r="D123">
            <v>4</v>
          </cell>
          <cell r="E123" t="str">
            <v/>
          </cell>
          <cell r="I123" t="str">
            <v>남</v>
          </cell>
        </row>
        <row r="124">
          <cell r="A124" t="str">
            <v>-</v>
          </cell>
          <cell r="B124">
            <v>0</v>
          </cell>
          <cell r="C124">
            <v>0</v>
          </cell>
          <cell r="D124" t="str">
            <v/>
          </cell>
          <cell r="E124" t="str">
            <v/>
          </cell>
          <cell r="I124" t="str">
            <v>여</v>
          </cell>
        </row>
        <row r="125">
          <cell r="A125" t="str">
            <v>-</v>
          </cell>
          <cell r="B125">
            <v>0</v>
          </cell>
          <cell r="C125">
            <v>0</v>
          </cell>
          <cell r="D125" t="str">
            <v/>
          </cell>
          <cell r="E125" t="str">
            <v/>
          </cell>
          <cell r="I125" t="str">
            <v>여</v>
          </cell>
        </row>
        <row r="126">
          <cell r="A126" t="str">
            <v>-</v>
          </cell>
          <cell r="B126">
            <v>0</v>
          </cell>
          <cell r="C126">
            <v>0</v>
          </cell>
          <cell r="D126" t="str">
            <v/>
          </cell>
          <cell r="E126" t="str">
            <v/>
          </cell>
          <cell r="I126" t="str">
            <v>여</v>
          </cell>
        </row>
        <row r="127">
          <cell r="A127" t="str">
            <v>-</v>
          </cell>
          <cell r="B127">
            <v>0</v>
          </cell>
          <cell r="C127">
            <v>0</v>
          </cell>
          <cell r="D127" t="str">
            <v/>
          </cell>
          <cell r="E127" t="str">
            <v/>
          </cell>
          <cell r="I127" t="str">
            <v>여</v>
          </cell>
        </row>
        <row r="128">
          <cell r="A128" t="str">
            <v>-</v>
          </cell>
          <cell r="B128">
            <v>0</v>
          </cell>
          <cell r="C128">
            <v>0</v>
          </cell>
          <cell r="D128" t="str">
            <v/>
          </cell>
          <cell r="E128" t="str">
            <v/>
          </cell>
          <cell r="I128" t="str">
            <v>여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0C0E-E1C5-4A9D-A871-537AB22AA991}">
  <sheetPr codeName="Sheet17"/>
  <dimension ref="A2:K54"/>
  <sheetViews>
    <sheetView tabSelected="1" topLeftCell="A46" zoomScale="145" zoomScaleNormal="145" workbookViewId="0">
      <selection activeCell="A51" sqref="A51:XFD51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/>
      <c r="D5" s="6"/>
      <c r="E5" s="5"/>
      <c r="F5" s="5"/>
      <c r="G5" s="5"/>
      <c r="H5" s="7"/>
    </row>
    <row r="6" spans="2:8" ht="19.5" customHeight="1">
      <c r="B6" s="4">
        <v>2</v>
      </c>
      <c r="C6" s="5"/>
      <c r="D6" s="6"/>
      <c r="E6" s="5"/>
      <c r="F6" s="5"/>
      <c r="G6" s="5"/>
      <c r="H6" s="7"/>
    </row>
    <row r="7" spans="2:8" ht="19.5" customHeight="1">
      <c r="B7" s="4">
        <v>3</v>
      </c>
      <c r="C7" s="5"/>
      <c r="D7" s="6"/>
      <c r="E7" s="5"/>
      <c r="F7" s="5"/>
      <c r="G7" s="5"/>
      <c r="H7" s="7"/>
    </row>
    <row r="8" spans="2:8" ht="19.5" customHeight="1">
      <c r="B8" s="4">
        <v>4</v>
      </c>
      <c r="C8" s="5"/>
      <c r="D8" s="6"/>
      <c r="E8" s="5"/>
      <c r="F8" s="5"/>
      <c r="G8" s="5"/>
      <c r="H8" s="7"/>
    </row>
    <row r="9" spans="2:8" ht="19.5" customHeight="1">
      <c r="B9" s="4"/>
      <c r="C9" s="5"/>
      <c r="D9" s="6"/>
      <c r="E9" s="5"/>
      <c r="F9" s="5"/>
      <c r="G9" s="5"/>
      <c r="H9" s="7"/>
    </row>
    <row r="10" spans="2:8" ht="20.25" customHeight="1" thickBot="1">
      <c r="B10" s="8"/>
      <c r="C10" s="9"/>
      <c r="D10" s="10"/>
      <c r="E10" s="9"/>
      <c r="F10" s="9"/>
      <c r="G10" s="9"/>
      <c r="H10" s="11"/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/>
      <c r="D19" s="6"/>
      <c r="E19" s="5"/>
      <c r="F19" s="5"/>
      <c r="G19" s="5"/>
      <c r="H19" s="7"/>
    </row>
    <row r="20" spans="1:11" ht="19.5" customHeight="1">
      <c r="B20" s="4">
        <v>2</v>
      </c>
      <c r="C20" s="5"/>
      <c r="D20" s="6"/>
      <c r="E20" s="5"/>
      <c r="F20" s="5"/>
      <c r="G20" s="5"/>
      <c r="H20" s="7"/>
    </row>
    <row r="21" spans="1:11" ht="19.5" customHeight="1">
      <c r="B21" s="4">
        <v>3</v>
      </c>
      <c r="C21" s="5"/>
      <c r="D21" s="6"/>
      <c r="E21" s="5"/>
      <c r="F21" s="5"/>
      <c r="G21" s="5"/>
      <c r="H21" s="7"/>
    </row>
    <row r="22" spans="1:11" ht="19.5" customHeight="1">
      <c r="B22" s="4">
        <v>4</v>
      </c>
      <c r="C22" s="5"/>
      <c r="D22" s="6"/>
      <c r="E22" s="5"/>
      <c r="F22" s="5"/>
      <c r="G22" s="5"/>
      <c r="H22" s="7"/>
    </row>
    <row r="23" spans="1:11" ht="19.5" customHeight="1">
      <c r="B23" s="4">
        <v>5</v>
      </c>
      <c r="C23" s="5"/>
      <c r="D23" s="6"/>
      <c r="E23" s="5"/>
      <c r="F23" s="5"/>
      <c r="G23" s="5"/>
      <c r="H23" s="7"/>
    </row>
    <row r="24" spans="1:11" s="13" customFormat="1" ht="20.25" customHeight="1" thickBot="1">
      <c r="A24"/>
      <c r="B24" s="8"/>
      <c r="C24" s="9"/>
      <c r="D24" s="10"/>
      <c r="E24" s="9"/>
      <c r="F24" s="9"/>
      <c r="G24" s="9"/>
      <c r="H24" s="11"/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/>
      <c r="D33" s="6"/>
      <c r="E33" s="5"/>
      <c r="F33" s="5"/>
      <c r="G33" s="5"/>
      <c r="H33" s="7"/>
    </row>
    <row r="34" spans="2:8" ht="19.5" customHeight="1">
      <c r="B34" s="4">
        <v>2</v>
      </c>
      <c r="C34" s="5"/>
      <c r="D34" s="6"/>
      <c r="E34" s="5"/>
      <c r="F34" s="5"/>
      <c r="G34" s="5"/>
      <c r="H34" s="7"/>
    </row>
    <row r="35" spans="2:8" ht="19.5" customHeight="1">
      <c r="B35" s="4">
        <v>3</v>
      </c>
      <c r="C35" s="5"/>
      <c r="D35" s="6"/>
      <c r="E35" s="5"/>
      <c r="F35" s="5"/>
      <c r="G35" s="5"/>
      <c r="H35" s="7"/>
    </row>
    <row r="36" spans="2:8" ht="19.5" customHeight="1">
      <c r="B36" s="4">
        <v>4</v>
      </c>
      <c r="C36" s="5"/>
      <c r="D36" s="6"/>
      <c r="E36" s="5"/>
      <c r="F36" s="5"/>
      <c r="G36" s="5"/>
      <c r="H36" s="7"/>
    </row>
    <row r="37" spans="2:8" ht="19.5" customHeight="1">
      <c r="B37" s="4">
        <v>5</v>
      </c>
      <c r="C37" s="5"/>
      <c r="D37" s="6"/>
      <c r="E37" s="5"/>
      <c r="F37" s="5"/>
      <c r="G37" s="5"/>
      <c r="H37" s="7"/>
    </row>
    <row r="38" spans="2:8" ht="20.25" customHeight="1" thickBot="1">
      <c r="B38" s="4">
        <v>6</v>
      </c>
      <c r="C38" s="9"/>
      <c r="D38" s="10"/>
      <c r="E38" s="9"/>
      <c r="F38" s="9"/>
      <c r="G38" s="9"/>
      <c r="H38" s="11"/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/>
      <c r="D47" s="6"/>
      <c r="E47" s="5"/>
      <c r="F47" s="5"/>
      <c r="G47" s="5"/>
      <c r="H47" s="7"/>
    </row>
    <row r="48" spans="2:8" ht="19.5" customHeight="1">
      <c r="B48" s="4">
        <v>2</v>
      </c>
      <c r="C48" s="5"/>
      <c r="D48" s="6"/>
      <c r="E48" s="5"/>
      <c r="F48" s="5"/>
      <c r="G48" s="5"/>
      <c r="H48" s="7"/>
    </row>
    <row r="49" spans="2:8" ht="19.5" customHeight="1">
      <c r="B49" s="4">
        <v>3</v>
      </c>
      <c r="C49" s="5"/>
      <c r="D49" s="6"/>
      <c r="E49" s="5"/>
      <c r="F49" s="5"/>
      <c r="G49" s="5"/>
      <c r="H49" s="7"/>
    </row>
    <row r="50" spans="2:8" ht="19.5" customHeight="1">
      <c r="B50" s="4">
        <v>4</v>
      </c>
      <c r="C50" s="5"/>
      <c r="D50" s="6"/>
      <c r="E50" s="5"/>
      <c r="F50" s="5"/>
      <c r="G50" s="5"/>
      <c r="H50" s="7"/>
    </row>
    <row r="51" spans="2:8" ht="19.5">
      <c r="B51" s="4">
        <v>5</v>
      </c>
      <c r="C51" s="5"/>
      <c r="D51" s="6"/>
      <c r="E51" s="5"/>
      <c r="F51" s="5"/>
      <c r="G51" s="5"/>
      <c r="H51" s="7"/>
    </row>
    <row r="52" spans="2:8" ht="20.25" customHeight="1" thickBot="1">
      <c r="B52" s="8"/>
      <c r="C52" s="9"/>
      <c r="D52" s="10"/>
      <c r="E52" s="9"/>
      <c r="F52" s="9"/>
      <c r="G52" s="9"/>
      <c r="H52" s="11"/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5ACB-E1D5-4DF8-A3A7-F10142412277}">
  <sheetPr codeName="Sheet18"/>
  <dimension ref="A2:K54"/>
  <sheetViews>
    <sheetView topLeftCell="A49" zoomScale="145" zoomScaleNormal="145" workbookViewId="0">
      <selection activeCell="B12" sqref="B12:H12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 t="str">
        <f>IFERROR(VLOOKUP(A5,'[1]학생 데이터 입력'!$A$2:$J$198,3,FALSE),"")</f>
        <v/>
      </c>
      <c r="D5" s="6" t="str">
        <f>IFERROR(VLOOKUP(A5,'[1]학생 데이터 입력'!$A$2:$K$198,11,FALSE),"")</f>
        <v/>
      </c>
      <c r="E5" s="5" t="str">
        <f>IFERROR(VLOOKUP(A5,'[1]학생 데이터 입력'!$A$2:$J$198,8,FALSE),"")</f>
        <v/>
      </c>
      <c r="F5" s="5" t="str">
        <f>IFERROR(VLOOKUP(A5,'[1]학생 데이터 입력'!$A$2:$J$198,6,FALSE),"")</f>
        <v/>
      </c>
      <c r="G5" s="5" t="str">
        <f>IFERROR(VLOOKUP(A5,'[1]학생 데이터 입력'!$A$2:$J$198,7,FALSE),"")</f>
        <v/>
      </c>
      <c r="H5" s="7" t="str">
        <f>IFERROR(IF(VLOOKUP(A5,'[1]학생 데이터 입력'!$A$2:$J$198,10,FALSE)=0,"",VLOOKUP(A5,'[1]학생 데이터 입력'!$A$2:$J$198,10,FALSE)),"")</f>
        <v/>
      </c>
    </row>
    <row r="6" spans="2:8" ht="19.5" customHeight="1">
      <c r="B6" s="4">
        <v>2</v>
      </c>
      <c r="C6" s="5" t="str">
        <f>IFERROR(VLOOKUP(A6,'[1]학생 데이터 입력'!$A$2:$J$198,3,FALSE),"")</f>
        <v/>
      </c>
      <c r="D6" s="6" t="str">
        <f>IFERROR(VLOOKUP(A6,'[1]학생 데이터 입력'!$A$2:$K$198,11,FALSE),"")</f>
        <v/>
      </c>
      <c r="E6" s="5" t="str">
        <f>IFERROR(VLOOKUP(A6,'[1]학생 데이터 입력'!$A$2:$J$198,8,FALSE),"")</f>
        <v/>
      </c>
      <c r="F6" s="5" t="str">
        <f>IFERROR(VLOOKUP(A6,'[1]학생 데이터 입력'!$A$2:$J$198,6,FALSE),"")</f>
        <v/>
      </c>
      <c r="G6" s="5" t="str">
        <f>IFERROR(VLOOKUP(A6,'[1]학생 데이터 입력'!$A$2:$J$198,7,FALSE),"")</f>
        <v/>
      </c>
      <c r="H6" s="7" t="str">
        <f>IFERROR(IF(VLOOKUP(A6,'[1]학생 데이터 입력'!$A$2:$J$198,10,FALSE)=0,"",VLOOKUP(A6,'[1]학생 데이터 입력'!$A$2:$J$198,10,FALSE)),"")</f>
        <v/>
      </c>
    </row>
    <row r="7" spans="2:8" ht="19.5" customHeight="1">
      <c r="B7" s="4">
        <v>3</v>
      </c>
      <c r="C7" s="5" t="str">
        <f>IFERROR(VLOOKUP(A7,'[1]학생 데이터 입력'!$A$2:$J$198,3,FALSE),"")</f>
        <v/>
      </c>
      <c r="D7" s="6" t="str">
        <f>IFERROR(VLOOKUP(A7,'[1]학생 데이터 입력'!$A$2:$K$198,11,FALSE),"")</f>
        <v/>
      </c>
      <c r="E7" s="5" t="str">
        <f>IFERROR(VLOOKUP(A7,'[1]학생 데이터 입력'!$A$2:$J$198,8,FALSE),"")</f>
        <v/>
      </c>
      <c r="F7" s="5" t="str">
        <f>IFERROR(VLOOKUP(A7,'[1]학생 데이터 입력'!$A$2:$J$198,6,FALSE),"")</f>
        <v/>
      </c>
      <c r="G7" s="5" t="str">
        <f>IFERROR(VLOOKUP(A7,'[1]학생 데이터 입력'!$A$2:$J$198,7,FALSE),"")</f>
        <v/>
      </c>
      <c r="H7" s="7" t="str">
        <f>IFERROR(IF(VLOOKUP(A7,'[1]학생 데이터 입력'!$A$2:$J$198,10,FALSE)=0,"",VLOOKUP(A7,'[1]학생 데이터 입력'!$A$2:$J$198,10,FALSE)),"")</f>
        <v/>
      </c>
    </row>
    <row r="8" spans="2:8" ht="19.5" customHeight="1">
      <c r="B8" s="4">
        <v>4</v>
      </c>
      <c r="C8" s="5" t="str">
        <f>IFERROR(VLOOKUP(A8,'[1]학생 데이터 입력'!$A$2:$J$198,3,FALSE),"")</f>
        <v/>
      </c>
      <c r="D8" s="6" t="str">
        <f>IFERROR(VLOOKUP(A8,'[1]학생 데이터 입력'!$A$2:$K$198,11,FALSE),"")</f>
        <v/>
      </c>
      <c r="E8" s="5" t="str">
        <f>IFERROR(VLOOKUP(A8,'[1]학생 데이터 입력'!$A$2:$J$198,8,FALSE),"")</f>
        <v/>
      </c>
      <c r="F8" s="5" t="str">
        <f>IFERROR(VLOOKUP(A8,'[1]학생 데이터 입력'!$A$2:$J$198,6,FALSE),"")</f>
        <v/>
      </c>
      <c r="G8" s="5" t="str">
        <f>IFERROR(VLOOKUP(A8,'[1]학생 데이터 입력'!$A$2:$J$198,7,FALSE),"")</f>
        <v/>
      </c>
      <c r="H8" s="7" t="str">
        <f>IFERROR(IF(VLOOKUP(A8,'[1]학생 데이터 입력'!$A$2:$J$198,10,FALSE)=0,"",VLOOKUP(A8,'[1]학생 데이터 입력'!$A$2:$J$198,10,FALSE)),"")</f>
        <v/>
      </c>
    </row>
    <row r="9" spans="2:8" ht="19.5" customHeight="1">
      <c r="B9" s="4"/>
      <c r="C9" s="5" t="str">
        <f>IFERROR(VLOOKUP(A9,'[1]학생 데이터 입력'!$A$2:$J$198,3,FALSE),"")</f>
        <v/>
      </c>
      <c r="D9" s="6" t="str">
        <f>IFERROR(VLOOKUP(A9,'[1]학생 데이터 입력'!$A$2:$K$198,11,FALSE),"")</f>
        <v/>
      </c>
      <c r="E9" s="5" t="str">
        <f>IFERROR(VLOOKUP(A9,'[1]학생 데이터 입력'!$A$2:$J$198,8,FALSE),"")</f>
        <v/>
      </c>
      <c r="F9" s="5" t="str">
        <f>IFERROR(VLOOKUP(A9,'[1]학생 데이터 입력'!$A$2:$J$198,6,FALSE),"")</f>
        <v/>
      </c>
      <c r="G9" s="5" t="str">
        <f>IFERROR(VLOOKUP(A9,'[1]학생 데이터 입력'!$A$2:$J$198,7,FALSE),"")</f>
        <v/>
      </c>
      <c r="H9" s="7" t="str">
        <f>IFERROR(IF(VLOOKUP(A9,'[1]학생 데이터 입력'!$A$2:$J$198,10,FALSE)=0,"",VLOOKUP(A9,'[1]학생 데이터 입력'!$A$2:$J$198,10,FALSE)),"")</f>
        <v/>
      </c>
    </row>
    <row r="10" spans="2:8" ht="20.25" customHeight="1" thickBot="1">
      <c r="B10" s="8"/>
      <c r="C10" s="9" t="str">
        <f>IFERROR(VLOOKUP(A10,'[1]학생 데이터 입력'!$A$2:$J$198,3,FALSE),"")</f>
        <v/>
      </c>
      <c r="D10" s="10" t="str">
        <f>IFERROR(VLOOKUP(A10,'[1]학생 데이터 입력'!$A$2:$K$198,11,FALSE),"")</f>
        <v/>
      </c>
      <c r="E10" s="9" t="str">
        <f>IFERROR(VLOOKUP(A10,'[1]학생 데이터 입력'!$A$2:$J$198,8,FALSE),"")</f>
        <v/>
      </c>
      <c r="F10" s="9" t="str">
        <f>IFERROR(VLOOKUP(A10,'[1]학생 데이터 입력'!$A$2:$J$198,6,FALSE),"")</f>
        <v/>
      </c>
      <c r="G10" s="9" t="str">
        <f>IFERROR(VLOOKUP(A10,'[1]학생 데이터 입력'!$A$2:$J$198,7,FALSE),"")</f>
        <v/>
      </c>
      <c r="H10" s="11" t="str">
        <f>IFERROR(IF(VLOOKUP(A10,'[1]학생 데이터 입력'!$A$2:$J$198,10,FALSE)=0,"",VLOOKUP(A10,'[1]학생 데이터 입력'!$A$2:$J$198,10,FALSE)),"")</f>
        <v/>
      </c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 t="str">
        <f>IFERROR(VLOOKUP(A19,'[1]학생 데이터 입력'!$A$2:$J$198,3,FALSE),"")</f>
        <v/>
      </c>
      <c r="D19" s="6" t="str">
        <f>IFERROR(VLOOKUP(A19,'[1]학생 데이터 입력'!$A$2:$K$198,11,FALSE),"")</f>
        <v/>
      </c>
      <c r="E19" s="5" t="str">
        <f>IFERROR(VLOOKUP(A19,'[1]학생 데이터 입력'!$A$2:$J$198,8,FALSE),"")</f>
        <v/>
      </c>
      <c r="F19" s="5" t="str">
        <f>IFERROR(VLOOKUP(A19,'[1]학생 데이터 입력'!$A$2:$J$198,6,FALSE),"")</f>
        <v/>
      </c>
      <c r="G19" s="5" t="str">
        <f>IFERROR(VLOOKUP(A19,'[1]학생 데이터 입력'!$A$2:$J$198,7,FALSE),"")</f>
        <v/>
      </c>
      <c r="H19" s="7" t="str">
        <f>IFERROR(IF(VLOOKUP(A19,'[1]학생 데이터 입력'!$A$2:$J$198,10,FALSE)=0,"",VLOOKUP(A19,'[1]학생 데이터 입력'!$A$2:$J$198,10,FALSE)),"")</f>
        <v/>
      </c>
    </row>
    <row r="20" spans="1:11" ht="19.5" customHeight="1">
      <c r="B20" s="4">
        <v>2</v>
      </c>
      <c r="C20" s="5" t="str">
        <f>IFERROR(VLOOKUP(A20,'[1]학생 데이터 입력'!$A$2:$J$198,3,FALSE),"")</f>
        <v/>
      </c>
      <c r="D20" s="6" t="str">
        <f>IFERROR(VLOOKUP(A20,'[1]학생 데이터 입력'!$A$2:$K$198,11,FALSE),"")</f>
        <v/>
      </c>
      <c r="E20" s="5" t="str">
        <f>IFERROR(VLOOKUP(A20,'[1]학생 데이터 입력'!$A$2:$J$198,8,FALSE),"")</f>
        <v/>
      </c>
      <c r="F20" s="5" t="str">
        <f>IFERROR(VLOOKUP(A20,'[1]학생 데이터 입력'!$A$2:$J$198,6,FALSE),"")</f>
        <v/>
      </c>
      <c r="G20" s="5" t="str">
        <f>IFERROR(VLOOKUP(A20,'[1]학생 데이터 입력'!$A$2:$J$198,7,FALSE),"")</f>
        <v/>
      </c>
      <c r="H20" s="7" t="str">
        <f>IFERROR(IF(VLOOKUP(A20,'[1]학생 데이터 입력'!$A$2:$J$198,10,FALSE)=0,"",VLOOKUP(A20,'[1]학생 데이터 입력'!$A$2:$J$198,10,FALSE)),"")</f>
        <v/>
      </c>
    </row>
    <row r="21" spans="1:11" ht="19.5" customHeight="1">
      <c r="B21" s="4">
        <v>3</v>
      </c>
      <c r="C21" s="5" t="str">
        <f>IFERROR(VLOOKUP(A21,'[1]학생 데이터 입력'!$A$2:$J$198,3,FALSE),"")</f>
        <v/>
      </c>
      <c r="D21" s="6" t="str">
        <f>IFERROR(VLOOKUP(A21,'[1]학생 데이터 입력'!$A$2:$K$198,11,FALSE),"")</f>
        <v/>
      </c>
      <c r="E21" s="5" t="str">
        <f>IFERROR(VLOOKUP(A21,'[1]학생 데이터 입력'!$A$2:$J$198,8,FALSE),"")</f>
        <v/>
      </c>
      <c r="F21" s="5" t="str">
        <f>IFERROR(VLOOKUP(A21,'[1]학생 데이터 입력'!$A$2:$J$198,6,FALSE),"")</f>
        <v/>
      </c>
      <c r="G21" s="5" t="str">
        <f>IFERROR(VLOOKUP(A21,'[1]학생 데이터 입력'!$A$2:$J$198,7,FALSE),"")</f>
        <v/>
      </c>
      <c r="H21" s="7" t="str">
        <f>IFERROR(IF(VLOOKUP(A21,'[1]학생 데이터 입력'!$A$2:$J$198,10,FALSE)=0,"",VLOOKUP(A21,'[1]학생 데이터 입력'!$A$2:$J$198,10,FALSE)),"")</f>
        <v/>
      </c>
    </row>
    <row r="22" spans="1:11" ht="19.5" customHeight="1">
      <c r="B22" s="4">
        <v>4</v>
      </c>
      <c r="C22" s="5" t="str">
        <f>IFERROR(VLOOKUP(A22,'[1]학생 데이터 입력'!$A$2:$J$198,3,FALSE),"")</f>
        <v/>
      </c>
      <c r="D22" s="6" t="str">
        <f>IFERROR(VLOOKUP(A22,'[1]학생 데이터 입력'!$A$2:$K$198,11,FALSE),"")</f>
        <v/>
      </c>
      <c r="E22" s="5" t="str">
        <f>IFERROR(VLOOKUP(A22,'[1]학생 데이터 입력'!$A$2:$J$198,8,FALSE),"")</f>
        <v/>
      </c>
      <c r="F22" s="5" t="str">
        <f>IFERROR(VLOOKUP(A22,'[1]학생 데이터 입력'!$A$2:$J$198,6,FALSE),"")</f>
        <v/>
      </c>
      <c r="G22" s="5" t="str">
        <f>IFERROR(VLOOKUP(A22,'[1]학생 데이터 입력'!$A$2:$J$198,7,FALSE),"")</f>
        <v/>
      </c>
      <c r="H22" s="7" t="str">
        <f>IFERROR(IF(VLOOKUP(A22,'[1]학생 데이터 입력'!$A$2:$J$198,10,FALSE)=0,"",VLOOKUP(A22,'[1]학생 데이터 입력'!$A$2:$J$198,10,FALSE)),"")</f>
        <v/>
      </c>
    </row>
    <row r="23" spans="1:11" ht="19.5" customHeight="1">
      <c r="B23" s="4">
        <v>5</v>
      </c>
      <c r="C23" s="5" t="str">
        <f>IFERROR(VLOOKUP(A23,'[1]학생 데이터 입력'!$A$2:$J$198,3,FALSE),"")</f>
        <v/>
      </c>
      <c r="D23" s="6" t="str">
        <f>IFERROR(VLOOKUP(A23,'[1]학생 데이터 입력'!$A$2:$K$198,11,FALSE),"")</f>
        <v/>
      </c>
      <c r="E23" s="5" t="str">
        <f>IFERROR(VLOOKUP(A23,'[1]학생 데이터 입력'!$A$2:$J$198,8,FALSE),"")</f>
        <v/>
      </c>
      <c r="F23" s="5" t="str">
        <f>IFERROR(VLOOKUP(A23,'[1]학생 데이터 입력'!$A$2:$J$198,6,FALSE),"")</f>
        <v/>
      </c>
      <c r="G23" s="5" t="str">
        <f>IFERROR(VLOOKUP(A23,'[1]학생 데이터 입력'!$A$2:$J$198,7,FALSE),"")</f>
        <v/>
      </c>
      <c r="H23" s="7" t="str">
        <f>IFERROR(IF(VLOOKUP(A23,'[1]학생 데이터 입력'!$A$2:$J$198,10,FALSE)=0,"",VLOOKUP(A23,'[1]학생 데이터 입력'!$A$2:$J$198,10,FALSE)),"")</f>
        <v/>
      </c>
    </row>
    <row r="24" spans="1:11" s="13" customFormat="1" ht="20.25" customHeight="1" thickBot="1">
      <c r="A24"/>
      <c r="B24" s="8"/>
      <c r="C24" s="9" t="str">
        <f>IFERROR(VLOOKUP(A24,'[1]학생 데이터 입력'!$A$2:$J$198,3,FALSE),"")</f>
        <v/>
      </c>
      <c r="D24" s="10" t="str">
        <f>IFERROR(VLOOKUP(A24,'[1]학생 데이터 입력'!$A$2:$K$198,11,FALSE),"")</f>
        <v/>
      </c>
      <c r="E24" s="9" t="str">
        <f>IFERROR(VLOOKUP(A24,'[1]학생 데이터 입력'!$A$2:$J$198,8,FALSE),"")</f>
        <v/>
      </c>
      <c r="F24" s="9" t="str">
        <f>IFERROR(VLOOKUP(A24,'[1]학생 데이터 입력'!$A$2:$J$198,6,FALSE),"")</f>
        <v/>
      </c>
      <c r="G24" s="9" t="str">
        <f>IFERROR(VLOOKUP(A24,'[1]학생 데이터 입력'!$A$2:$J$198,7,FALSE),"")</f>
        <v/>
      </c>
      <c r="H24" s="11" t="str">
        <f>IFERROR(IF(VLOOKUP(A24,'[1]학생 데이터 입력'!$A$2:$J$198,10,FALSE)=0,"",VLOOKUP(A24,'[1]학생 데이터 입력'!$A$2:$J$198,10,FALSE)),"")</f>
        <v/>
      </c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 t="str">
        <f>IFERROR(VLOOKUP(A33,'[1]학생 데이터 입력'!$A$2:$J$198,3,FALSE),"")</f>
        <v/>
      </c>
      <c r="D33" s="6" t="str">
        <f>IFERROR(VLOOKUP(A33,'[1]학생 데이터 입력'!$A$2:$K$198,11,FALSE),"")</f>
        <v/>
      </c>
      <c r="E33" s="5" t="str">
        <f>IFERROR(VLOOKUP(A33,'[1]학생 데이터 입력'!$A$2:$J$198,8,FALSE),"")</f>
        <v/>
      </c>
      <c r="F33" s="5" t="str">
        <f>IFERROR(VLOOKUP(A33,'[1]학생 데이터 입력'!$A$2:$J$198,6,FALSE),"")</f>
        <v/>
      </c>
      <c r="G33" s="5" t="str">
        <f>IFERROR(VLOOKUP(A33,'[1]학생 데이터 입력'!$A$2:$J$198,7,FALSE),"")</f>
        <v/>
      </c>
      <c r="H33" s="7" t="str">
        <f>IFERROR(IF(VLOOKUP(A33,'[1]학생 데이터 입력'!$A$2:$J$198,10,FALSE)=0,"",VLOOKUP(A33,'[1]학생 데이터 입력'!$A$2:$J$198,10,FALSE)),"")</f>
        <v/>
      </c>
    </row>
    <row r="34" spans="2:8" ht="19.5" customHeight="1">
      <c r="B34" s="4">
        <v>2</v>
      </c>
      <c r="C34" s="5" t="str">
        <f>IFERROR(VLOOKUP(A34,'[1]학생 데이터 입력'!$A$2:$J$198,3,FALSE),"")</f>
        <v/>
      </c>
      <c r="D34" s="6" t="str">
        <f>IFERROR(VLOOKUP(A34,'[1]학생 데이터 입력'!$A$2:$K$198,11,FALSE),"")</f>
        <v/>
      </c>
      <c r="E34" s="5" t="str">
        <f>IFERROR(VLOOKUP(A34,'[1]학생 데이터 입력'!$A$2:$J$198,8,FALSE),"")</f>
        <v/>
      </c>
      <c r="F34" s="5" t="str">
        <f>IFERROR(VLOOKUP(A34,'[1]학생 데이터 입력'!$A$2:$J$198,6,FALSE),"")</f>
        <v/>
      </c>
      <c r="G34" s="5" t="str">
        <f>IFERROR(VLOOKUP(A34,'[1]학생 데이터 입력'!$A$2:$J$198,7,FALSE),"")</f>
        <v/>
      </c>
      <c r="H34" s="7" t="str">
        <f>IFERROR(IF(VLOOKUP(A34,'[1]학생 데이터 입력'!$A$2:$J$198,10,FALSE)=0,"",VLOOKUP(A34,'[1]학생 데이터 입력'!$A$2:$J$198,10,FALSE)),"")</f>
        <v/>
      </c>
    </row>
    <row r="35" spans="2:8" ht="19.5" customHeight="1">
      <c r="B35" s="4">
        <v>3</v>
      </c>
      <c r="C35" s="5" t="str">
        <f>IFERROR(VLOOKUP(A35,'[1]학생 데이터 입력'!$A$2:$J$198,3,FALSE),"")</f>
        <v/>
      </c>
      <c r="D35" s="6" t="str">
        <f>IFERROR(VLOOKUP(A35,'[1]학생 데이터 입력'!$A$2:$K$198,11,FALSE),"")</f>
        <v/>
      </c>
      <c r="E35" s="5" t="str">
        <f>IFERROR(VLOOKUP(A35,'[1]학생 데이터 입력'!$A$2:$J$198,8,FALSE),"")</f>
        <v/>
      </c>
      <c r="F35" s="5" t="str">
        <f>IFERROR(VLOOKUP(A35,'[1]학생 데이터 입력'!$A$2:$J$198,6,FALSE),"")</f>
        <v/>
      </c>
      <c r="G35" s="5" t="str">
        <f>IFERROR(VLOOKUP(A35,'[1]학생 데이터 입력'!$A$2:$J$198,7,FALSE),"")</f>
        <v/>
      </c>
      <c r="H35" s="7" t="str">
        <f>IFERROR(IF(VLOOKUP(A35,'[1]학생 데이터 입력'!$A$2:$J$198,10,FALSE)=0,"",VLOOKUP(A35,'[1]학생 데이터 입력'!$A$2:$J$198,10,FALSE)),"")</f>
        <v/>
      </c>
    </row>
    <row r="36" spans="2:8" ht="19.5" customHeight="1">
      <c r="B36" s="4">
        <v>4</v>
      </c>
      <c r="C36" s="5" t="str">
        <f>IFERROR(VLOOKUP(A36,'[1]학생 데이터 입력'!$A$2:$J$198,3,FALSE),"")</f>
        <v/>
      </c>
      <c r="D36" s="6" t="str">
        <f>IFERROR(VLOOKUP(A36,'[1]학생 데이터 입력'!$A$2:$K$198,11,FALSE),"")</f>
        <v/>
      </c>
      <c r="E36" s="5" t="str">
        <f>IFERROR(VLOOKUP(A36,'[1]학생 데이터 입력'!$A$2:$J$198,8,FALSE),"")</f>
        <v/>
      </c>
      <c r="F36" s="5" t="str">
        <f>IFERROR(VLOOKUP(A36,'[1]학생 데이터 입력'!$A$2:$J$198,6,FALSE),"")</f>
        <v/>
      </c>
      <c r="G36" s="5" t="str">
        <f>IFERROR(VLOOKUP(A36,'[1]학생 데이터 입력'!$A$2:$J$198,7,FALSE),"")</f>
        <v/>
      </c>
      <c r="H36" s="7" t="str">
        <f>IFERROR(IF(VLOOKUP(A36,'[1]학생 데이터 입력'!$A$2:$J$198,10,FALSE)=0,"",VLOOKUP(A36,'[1]학생 데이터 입력'!$A$2:$J$198,10,FALSE)),"")</f>
        <v/>
      </c>
    </row>
    <row r="37" spans="2:8" ht="19.5" customHeight="1">
      <c r="B37" s="4">
        <v>5</v>
      </c>
      <c r="C37" s="5" t="str">
        <f>IFERROR(VLOOKUP(A37,'[1]학생 데이터 입력'!$A$2:$J$198,3,FALSE),"")</f>
        <v/>
      </c>
      <c r="D37" s="6" t="str">
        <f>IFERROR(VLOOKUP(A37,'[1]학생 데이터 입력'!$A$2:$K$198,11,FALSE),"")</f>
        <v/>
      </c>
      <c r="E37" s="5" t="str">
        <f>IFERROR(VLOOKUP(A37,'[1]학생 데이터 입력'!$A$2:$J$198,8,FALSE),"")</f>
        <v/>
      </c>
      <c r="F37" s="5" t="str">
        <f>IFERROR(VLOOKUP(A37,'[1]학생 데이터 입력'!$A$2:$J$198,6,FALSE),"")</f>
        <v/>
      </c>
      <c r="G37" s="5" t="str">
        <f>IFERROR(VLOOKUP(A37,'[1]학생 데이터 입력'!$A$2:$J$198,7,FALSE),"")</f>
        <v/>
      </c>
      <c r="H37" s="7" t="str">
        <f>IFERROR(IF(VLOOKUP(A37,'[1]학생 데이터 입력'!$A$2:$J$198,10,FALSE)=0,"",VLOOKUP(A37,'[1]학생 데이터 입력'!$A$2:$J$198,10,FALSE)),"")</f>
        <v/>
      </c>
    </row>
    <row r="38" spans="2:8" ht="20.25" customHeight="1" thickBot="1">
      <c r="B38" s="8"/>
      <c r="C38" s="9" t="str">
        <f>IFERROR(VLOOKUP(A38,'[1]학생 데이터 입력'!$A$2:$J$198,3,FALSE),"")</f>
        <v/>
      </c>
      <c r="D38" s="10" t="str">
        <f>IFERROR(VLOOKUP(A38,'[1]학생 데이터 입력'!$A$2:$K$198,11,FALSE),"")</f>
        <v/>
      </c>
      <c r="E38" s="9" t="str">
        <f>IFERROR(VLOOKUP(A38,'[1]학생 데이터 입력'!$A$2:$J$198,8,FALSE),"")</f>
        <v/>
      </c>
      <c r="F38" s="9" t="str">
        <f>IFERROR(VLOOKUP(A38,'[1]학생 데이터 입력'!$A$2:$J$198,6,FALSE),"")</f>
        <v/>
      </c>
      <c r="G38" s="9" t="str">
        <f>IFERROR(VLOOKUP(A38,'[1]학생 데이터 입력'!$A$2:$J$198,7,FALSE),"")</f>
        <v/>
      </c>
      <c r="H38" s="11" t="str">
        <f>IFERROR(IF(VLOOKUP(A38,'[1]학생 데이터 입력'!$A$2:$J$198,10,FALSE)=0,"",VLOOKUP(A38,'[1]학생 데이터 입력'!$A$2:$J$198,10,FALSE)),"")</f>
        <v/>
      </c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 t="str">
        <f>IFERROR(VLOOKUP(A47,'[1]학생 데이터 입력'!$A$2:$J$198,3,FALSE),"")</f>
        <v/>
      </c>
      <c r="D47" s="6" t="str">
        <f>IFERROR(VLOOKUP(A47,'[1]학생 데이터 입력'!$A$2:$K$198,11,FALSE),"")</f>
        <v/>
      </c>
      <c r="E47" s="5" t="str">
        <f>IFERROR(VLOOKUP(A47,'[1]학생 데이터 입력'!$A$2:$J$198,8,FALSE),"")</f>
        <v/>
      </c>
      <c r="F47" s="5" t="str">
        <f>IFERROR(VLOOKUP(A47,'[1]학생 데이터 입력'!$A$2:$J$198,6,FALSE),"")</f>
        <v/>
      </c>
      <c r="G47" s="5" t="str">
        <f>IFERROR(VLOOKUP(A47,'[1]학생 데이터 입력'!$A$2:$J$198,7,FALSE),"")</f>
        <v/>
      </c>
      <c r="H47" s="7" t="str">
        <f>IFERROR(IF(VLOOKUP(A47,'[1]학생 데이터 입력'!$A$2:$J$198,10,FALSE)=0,"",VLOOKUP(A47,'[1]학생 데이터 입력'!$A$2:$J$198,10,FALSE)),"")</f>
        <v/>
      </c>
    </row>
    <row r="48" spans="2:8" ht="19.5" customHeight="1">
      <c r="B48" s="4">
        <v>2</v>
      </c>
      <c r="C48" s="5" t="str">
        <f>IFERROR(VLOOKUP(A48,'[1]학생 데이터 입력'!$A$2:$J$198,3,FALSE),"")</f>
        <v/>
      </c>
      <c r="D48" s="6" t="str">
        <f>IFERROR(VLOOKUP(A48,'[1]학생 데이터 입력'!$A$2:$K$198,11,FALSE),"")</f>
        <v/>
      </c>
      <c r="E48" s="5" t="str">
        <f>IFERROR(VLOOKUP(A48,'[1]학생 데이터 입력'!$A$2:$J$198,8,FALSE),"")</f>
        <v/>
      </c>
      <c r="F48" s="5" t="str">
        <f>IFERROR(VLOOKUP(A48,'[1]학생 데이터 입력'!$A$2:$J$198,6,FALSE),"")</f>
        <v/>
      </c>
      <c r="G48" s="5" t="str">
        <f>IFERROR(VLOOKUP(A48,'[1]학생 데이터 입력'!$A$2:$J$198,7,FALSE),"")</f>
        <v/>
      </c>
      <c r="H48" s="7" t="str">
        <f>IFERROR(IF(VLOOKUP(A48,'[1]학생 데이터 입력'!$A$2:$J$198,10,FALSE)=0,"",VLOOKUP(A48,'[1]학생 데이터 입력'!$A$2:$J$198,10,FALSE)),"")</f>
        <v/>
      </c>
    </row>
    <row r="49" spans="2:8" ht="19.5" customHeight="1">
      <c r="B49" s="4">
        <v>3</v>
      </c>
      <c r="C49" s="5" t="str">
        <f>IFERROR(VLOOKUP(A49,'[1]학생 데이터 입력'!$A$2:$J$198,3,FALSE),"")</f>
        <v/>
      </c>
      <c r="D49" s="6" t="str">
        <f>IFERROR(VLOOKUP(A49,'[1]학생 데이터 입력'!$A$2:$K$198,11,FALSE),"")</f>
        <v/>
      </c>
      <c r="E49" s="5" t="str">
        <f>IFERROR(VLOOKUP(A49,'[1]학생 데이터 입력'!$A$2:$J$198,8,FALSE),"")</f>
        <v/>
      </c>
      <c r="F49" s="5" t="str">
        <f>IFERROR(VLOOKUP(A49,'[1]학생 데이터 입력'!$A$2:$J$198,6,FALSE),"")</f>
        <v/>
      </c>
      <c r="G49" s="5" t="str">
        <f>IFERROR(VLOOKUP(A49,'[1]학생 데이터 입력'!$A$2:$J$198,7,FALSE),"")</f>
        <v/>
      </c>
      <c r="H49" s="7" t="str">
        <f>IFERROR(IF(VLOOKUP(A49,'[1]학생 데이터 입력'!$A$2:$J$198,10,FALSE)=0,"",VLOOKUP(A49,'[1]학생 데이터 입력'!$A$2:$J$198,10,FALSE)),"")</f>
        <v/>
      </c>
    </row>
    <row r="50" spans="2:8" ht="19.5" customHeight="1">
      <c r="B50" s="4">
        <v>4</v>
      </c>
      <c r="C50" s="5" t="str">
        <f>IFERROR(VLOOKUP(A50,'[1]학생 데이터 입력'!$A$2:$J$198,3,FALSE),"")</f>
        <v/>
      </c>
      <c r="D50" s="6" t="str">
        <f>IFERROR(VLOOKUP(A50,'[1]학생 데이터 입력'!$A$2:$K$198,11,FALSE),"")</f>
        <v/>
      </c>
      <c r="E50" s="5" t="str">
        <f>IFERROR(VLOOKUP(A50,'[1]학생 데이터 입력'!$A$2:$J$198,8,FALSE),"")</f>
        <v/>
      </c>
      <c r="F50" s="5" t="str">
        <f>IFERROR(VLOOKUP(A50,'[1]학생 데이터 입력'!$A$2:$J$198,6,FALSE),"")</f>
        <v/>
      </c>
      <c r="G50" s="5" t="str">
        <f>IFERROR(VLOOKUP(A50,'[1]학생 데이터 입력'!$A$2:$J$198,7,FALSE),"")</f>
        <v/>
      </c>
      <c r="H50" s="7" t="str">
        <f>IFERROR(IF(VLOOKUP(A50,'[1]학생 데이터 입력'!$A$2:$J$198,10,FALSE)=0,"",VLOOKUP(A50,'[1]학생 데이터 입력'!$A$2:$J$198,10,FALSE)),"")</f>
        <v/>
      </c>
    </row>
    <row r="51" spans="2:8" ht="19.5" customHeight="1">
      <c r="B51" s="4">
        <v>5</v>
      </c>
      <c r="C51" s="5" t="str">
        <f>IFERROR(VLOOKUP(A51,'[1]학생 데이터 입력'!$A$2:$J$198,3,FALSE),"")</f>
        <v/>
      </c>
      <c r="D51" s="6" t="str">
        <f>IFERROR(VLOOKUP(A51,'[1]학생 데이터 입력'!$A$2:$K$198,11,FALSE),"")</f>
        <v/>
      </c>
      <c r="E51" s="5" t="str">
        <f>IFERROR(VLOOKUP(A51,'[1]학생 데이터 입력'!$A$2:$J$198,8,FALSE),"")</f>
        <v/>
      </c>
      <c r="F51" s="5" t="str">
        <f>IFERROR(VLOOKUP(A51,'[1]학생 데이터 입력'!$A$2:$J$198,6,FALSE),"")</f>
        <v/>
      </c>
      <c r="G51" s="5" t="str">
        <f>IFERROR(VLOOKUP(A51,'[1]학생 데이터 입력'!$A$2:$J$198,7,FALSE),"")</f>
        <v/>
      </c>
      <c r="H51" s="7" t="str">
        <f>IFERROR(IF(VLOOKUP(A51,'[1]학생 데이터 입력'!$A$2:$J$198,10,FALSE)=0,"",VLOOKUP(A51,'[1]학생 데이터 입력'!$A$2:$J$198,10,FALSE)),"")</f>
        <v/>
      </c>
    </row>
    <row r="52" spans="2:8" ht="20.25" customHeight="1" thickBot="1">
      <c r="B52" s="8"/>
      <c r="C52" s="9" t="str">
        <f>IFERROR(VLOOKUP(A52,'[1]학생 데이터 입력'!$A$2:$J$198,3,FALSE),"")</f>
        <v/>
      </c>
      <c r="D52" s="10" t="str">
        <f>IFERROR(VLOOKUP(A52,'[1]학생 데이터 입력'!$A$2:$K$198,11,FALSE),"")</f>
        <v/>
      </c>
      <c r="E52" s="9" t="str">
        <f>IFERROR(VLOOKUP(A52,'[1]학생 데이터 입력'!$A$2:$J$198,8,FALSE),"")</f>
        <v/>
      </c>
      <c r="F52" s="9" t="str">
        <f>IFERROR(VLOOKUP(A52,'[1]학생 데이터 입력'!$A$2:$J$198,6,FALSE),"")</f>
        <v/>
      </c>
      <c r="G52" s="9" t="str">
        <f>IFERROR(VLOOKUP(A52,'[1]학생 데이터 입력'!$A$2:$J$198,7,FALSE),"")</f>
        <v/>
      </c>
      <c r="H52" s="11" t="str">
        <f>IFERROR(IF(VLOOKUP(A52,'[1]학생 데이터 입력'!$A$2:$J$198,10,FALSE)=0,"",VLOOKUP(A52,'[1]학생 데이터 입력'!$A$2:$J$198,10,FALSE)),"")</f>
        <v/>
      </c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C49A-691B-441B-A451-B1DCD8160D9C}">
  <sheetPr codeName="Sheet15"/>
  <dimension ref="A2:K54"/>
  <sheetViews>
    <sheetView topLeftCell="A46" zoomScale="145" zoomScaleNormal="145" workbookViewId="0">
      <selection activeCell="A51" sqref="A51:XFD51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/>
      <c r="D5" s="6"/>
      <c r="E5" s="5"/>
      <c r="F5" s="5"/>
      <c r="G5" s="5"/>
      <c r="H5" s="7"/>
    </row>
    <row r="6" spans="2:8" ht="19.5" customHeight="1">
      <c r="B6" s="4">
        <v>2</v>
      </c>
      <c r="C6" s="5"/>
      <c r="D6" s="6"/>
      <c r="E6" s="5"/>
      <c r="F6" s="5"/>
      <c r="G6" s="5"/>
      <c r="H6" s="7"/>
    </row>
    <row r="7" spans="2:8" ht="19.5" customHeight="1">
      <c r="B7" s="4">
        <v>3</v>
      </c>
      <c r="C7" s="5"/>
      <c r="D7" s="6"/>
      <c r="E7" s="5"/>
      <c r="F7" s="5"/>
      <c r="G7" s="5"/>
      <c r="H7" s="7"/>
    </row>
    <row r="8" spans="2:8" ht="19.5" customHeight="1">
      <c r="B8" s="4">
        <v>4</v>
      </c>
      <c r="C8" s="5"/>
      <c r="D8" s="6"/>
      <c r="E8" s="5"/>
      <c r="F8" s="5"/>
      <c r="G8" s="5"/>
      <c r="H8" s="7"/>
    </row>
    <row r="9" spans="2:8" ht="19.5" customHeight="1">
      <c r="B9" s="4"/>
      <c r="C9" s="5"/>
      <c r="D9" s="6"/>
      <c r="E9" s="5"/>
      <c r="F9" s="5"/>
      <c r="G9" s="5"/>
      <c r="H9" s="7"/>
    </row>
    <row r="10" spans="2:8" ht="20.25" customHeight="1" thickBot="1">
      <c r="B10" s="8"/>
      <c r="C10" s="9"/>
      <c r="D10" s="10"/>
      <c r="E10" s="9"/>
      <c r="F10" s="9"/>
      <c r="G10" s="9"/>
      <c r="H10" s="11"/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/>
      <c r="D19" s="6"/>
      <c r="E19" s="5"/>
      <c r="F19" s="5"/>
      <c r="G19" s="5"/>
      <c r="H19" s="7"/>
    </row>
    <row r="20" spans="1:11" ht="19.5" customHeight="1">
      <c r="B20" s="4">
        <v>2</v>
      </c>
      <c r="C20" s="5"/>
      <c r="D20" s="6"/>
      <c r="E20" s="5"/>
      <c r="F20" s="5"/>
      <c r="G20" s="5"/>
      <c r="H20" s="7"/>
    </row>
    <row r="21" spans="1:11" ht="19.5" customHeight="1">
      <c r="B21" s="4">
        <v>3</v>
      </c>
      <c r="C21" s="5"/>
      <c r="D21" s="6"/>
      <c r="E21" s="5"/>
      <c r="F21" s="5"/>
      <c r="G21" s="5"/>
      <c r="H21" s="7"/>
    </row>
    <row r="22" spans="1:11" ht="19.5" customHeight="1">
      <c r="B22" s="4">
        <v>4</v>
      </c>
      <c r="C22" s="5"/>
      <c r="D22" s="6"/>
      <c r="E22" s="5"/>
      <c r="F22" s="5"/>
      <c r="G22" s="5"/>
      <c r="H22" s="7"/>
    </row>
    <row r="23" spans="1:11" ht="19.5" customHeight="1">
      <c r="B23" s="4">
        <v>5</v>
      </c>
      <c r="C23" s="5"/>
      <c r="D23" s="6"/>
      <c r="E23" s="5"/>
      <c r="F23" s="5"/>
      <c r="G23" s="5"/>
      <c r="H23" s="7"/>
    </row>
    <row r="24" spans="1:11" s="13" customFormat="1" ht="20.25" customHeight="1" thickBot="1">
      <c r="A24"/>
      <c r="B24" s="8"/>
      <c r="C24" s="9"/>
      <c r="D24" s="10"/>
      <c r="E24" s="9"/>
      <c r="F24" s="9"/>
      <c r="G24" s="9"/>
      <c r="H24" s="11"/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/>
      <c r="D33" s="6"/>
      <c r="E33" s="5"/>
      <c r="F33" s="5"/>
      <c r="G33" s="5"/>
      <c r="H33" s="7"/>
    </row>
    <row r="34" spans="2:8" ht="19.5" customHeight="1">
      <c r="B34" s="4">
        <v>2</v>
      </c>
      <c r="C34" s="5"/>
      <c r="D34" s="6"/>
      <c r="E34" s="5"/>
      <c r="F34" s="5"/>
      <c r="G34" s="5"/>
      <c r="H34" s="7"/>
    </row>
    <row r="35" spans="2:8" ht="19.5" customHeight="1">
      <c r="B35" s="4">
        <v>3</v>
      </c>
      <c r="C35" s="5"/>
      <c r="D35" s="6"/>
      <c r="E35" s="5"/>
      <c r="F35" s="5"/>
      <c r="G35" s="5"/>
      <c r="H35" s="7"/>
    </row>
    <row r="36" spans="2:8" ht="19.5" customHeight="1">
      <c r="B36" s="4">
        <v>4</v>
      </c>
      <c r="C36" s="5"/>
      <c r="D36" s="6"/>
      <c r="E36" s="5"/>
      <c r="F36" s="5"/>
      <c r="G36" s="5"/>
      <c r="H36" s="7"/>
    </row>
    <row r="37" spans="2:8" ht="19.5" customHeight="1">
      <c r="B37" s="4">
        <v>5</v>
      </c>
      <c r="C37" s="5"/>
      <c r="D37" s="6"/>
      <c r="E37" s="5"/>
      <c r="F37" s="5"/>
      <c r="G37" s="5"/>
      <c r="H37" s="7"/>
    </row>
    <row r="38" spans="2:8" ht="20.25" customHeight="1" thickBot="1">
      <c r="B38" s="4">
        <v>6</v>
      </c>
      <c r="C38" s="9"/>
      <c r="D38" s="10"/>
      <c r="E38" s="9"/>
      <c r="F38" s="9"/>
      <c r="G38" s="9"/>
      <c r="H38" s="11"/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/>
      <c r="D47" s="6"/>
      <c r="E47" s="5"/>
      <c r="F47" s="5"/>
      <c r="G47" s="5"/>
      <c r="H47" s="7"/>
    </row>
    <row r="48" spans="2:8" ht="19.5" customHeight="1">
      <c r="B48" s="4">
        <v>2</v>
      </c>
      <c r="C48" s="5"/>
      <c r="D48" s="6"/>
      <c r="E48" s="5"/>
      <c r="F48" s="5"/>
      <c r="G48" s="5"/>
      <c r="H48" s="7"/>
    </row>
    <row r="49" spans="2:8" ht="19.5" customHeight="1">
      <c r="B49" s="4">
        <v>3</v>
      </c>
      <c r="C49" s="5"/>
      <c r="D49" s="6"/>
      <c r="E49" s="5"/>
      <c r="F49" s="5"/>
      <c r="G49" s="5"/>
      <c r="H49" s="7"/>
    </row>
    <row r="50" spans="2:8" ht="19.5" customHeight="1">
      <c r="B50" s="4">
        <v>4</v>
      </c>
      <c r="C50" s="5"/>
      <c r="D50" s="6"/>
      <c r="E50" s="5"/>
      <c r="F50" s="5"/>
      <c r="G50" s="5"/>
      <c r="H50" s="7"/>
    </row>
    <row r="51" spans="2:8" ht="19.5">
      <c r="B51" s="4">
        <v>5</v>
      </c>
      <c r="C51" s="5"/>
      <c r="D51" s="6"/>
      <c r="E51" s="5"/>
      <c r="F51" s="5"/>
      <c r="G51" s="5"/>
      <c r="H51" s="7"/>
    </row>
    <row r="52" spans="2:8" ht="20.25" customHeight="1" thickBot="1">
      <c r="B52" s="8"/>
      <c r="C52" s="9"/>
      <c r="D52" s="10"/>
      <c r="E52" s="9"/>
      <c r="F52" s="9"/>
      <c r="G52" s="9"/>
      <c r="H52" s="11"/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2583-7DAE-4F66-A7DB-1D25188576F2}">
  <sheetPr codeName="Sheet16"/>
  <dimension ref="A2:K54"/>
  <sheetViews>
    <sheetView topLeftCell="A46" zoomScale="145" zoomScaleNormal="145" workbookViewId="0">
      <selection activeCell="D10" sqref="D10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 t="str">
        <f>IFERROR(VLOOKUP(A5,'[1]학생 데이터 입력'!$A$2:$J$198,3,FALSE),"")</f>
        <v/>
      </c>
      <c r="D5" s="6" t="str">
        <f>IFERROR(VLOOKUP(A5,'[1]학생 데이터 입력'!$A$2:$K$198,11,FALSE),"")</f>
        <v/>
      </c>
      <c r="E5" s="5" t="str">
        <f>IFERROR(VLOOKUP(A5,'[1]학생 데이터 입력'!$A$2:$J$198,8,FALSE),"")</f>
        <v/>
      </c>
      <c r="F5" s="5" t="str">
        <f>IFERROR(VLOOKUP(A5,'[1]학생 데이터 입력'!$A$2:$J$198,6,FALSE),"")</f>
        <v/>
      </c>
      <c r="G5" s="5" t="str">
        <f>IFERROR(VLOOKUP(A5,'[1]학생 데이터 입력'!$A$2:$J$198,7,FALSE),"")</f>
        <v/>
      </c>
      <c r="H5" s="7" t="str">
        <f>IFERROR(IF(VLOOKUP(A5,'[1]학생 데이터 입력'!$A$2:$J$198,10,FALSE)=0,"",VLOOKUP(A5,'[1]학생 데이터 입력'!$A$2:$J$198,10,FALSE)),"")</f>
        <v/>
      </c>
    </row>
    <row r="6" spans="2:8" ht="19.5" customHeight="1">
      <c r="B6" s="4">
        <v>2</v>
      </c>
      <c r="C6" s="5" t="str">
        <f>IFERROR(VLOOKUP(A6,'[1]학생 데이터 입력'!$A$2:$J$198,3,FALSE),"")</f>
        <v/>
      </c>
      <c r="D6" s="6" t="str">
        <f>IFERROR(VLOOKUP(A6,'[1]학생 데이터 입력'!$A$2:$K$198,11,FALSE),"")</f>
        <v/>
      </c>
      <c r="E6" s="5" t="str">
        <f>IFERROR(VLOOKUP(A6,'[1]학생 데이터 입력'!$A$2:$J$198,8,FALSE),"")</f>
        <v/>
      </c>
      <c r="F6" s="5" t="str">
        <f>IFERROR(VLOOKUP(A6,'[1]학생 데이터 입력'!$A$2:$J$198,6,FALSE),"")</f>
        <v/>
      </c>
      <c r="G6" s="5" t="str">
        <f>IFERROR(VLOOKUP(A6,'[1]학생 데이터 입력'!$A$2:$J$198,7,FALSE),"")</f>
        <v/>
      </c>
      <c r="H6" s="7" t="str">
        <f>IFERROR(IF(VLOOKUP(A6,'[1]학생 데이터 입력'!$A$2:$J$198,10,FALSE)=0,"",VLOOKUP(A6,'[1]학생 데이터 입력'!$A$2:$J$198,10,FALSE)),"")</f>
        <v/>
      </c>
    </row>
    <row r="7" spans="2:8" ht="19.5" customHeight="1">
      <c r="B7" s="4">
        <v>3</v>
      </c>
      <c r="C7" s="5" t="str">
        <f>IFERROR(VLOOKUP(A7,'[1]학생 데이터 입력'!$A$2:$J$198,3,FALSE),"")</f>
        <v/>
      </c>
      <c r="D7" s="6" t="str">
        <f>IFERROR(VLOOKUP(A7,'[1]학생 데이터 입력'!$A$2:$K$198,11,FALSE),"")</f>
        <v/>
      </c>
      <c r="E7" s="5" t="str">
        <f>IFERROR(VLOOKUP(A7,'[1]학생 데이터 입력'!$A$2:$J$198,8,FALSE),"")</f>
        <v/>
      </c>
      <c r="F7" s="5" t="str">
        <f>IFERROR(VLOOKUP(A7,'[1]학생 데이터 입력'!$A$2:$J$198,6,FALSE),"")</f>
        <v/>
      </c>
      <c r="G7" s="5" t="str">
        <f>IFERROR(VLOOKUP(A7,'[1]학생 데이터 입력'!$A$2:$J$198,7,FALSE),"")</f>
        <v/>
      </c>
      <c r="H7" s="7" t="str">
        <f>IFERROR(IF(VLOOKUP(A7,'[1]학생 데이터 입력'!$A$2:$J$198,10,FALSE)=0,"",VLOOKUP(A7,'[1]학생 데이터 입력'!$A$2:$J$198,10,FALSE)),"")</f>
        <v/>
      </c>
    </row>
    <row r="8" spans="2:8" ht="19.5" customHeight="1">
      <c r="B8" s="4">
        <v>4</v>
      </c>
      <c r="C8" s="5" t="str">
        <f>IFERROR(VLOOKUP(A8,'[1]학생 데이터 입력'!$A$2:$J$198,3,FALSE),"")</f>
        <v/>
      </c>
      <c r="D8" s="6" t="str">
        <f>IFERROR(VLOOKUP(A8,'[1]학생 데이터 입력'!$A$2:$K$198,11,FALSE),"")</f>
        <v/>
      </c>
      <c r="E8" s="5" t="str">
        <f>IFERROR(VLOOKUP(A8,'[1]학생 데이터 입력'!$A$2:$J$198,8,FALSE),"")</f>
        <v/>
      </c>
      <c r="F8" s="5" t="str">
        <f>IFERROR(VLOOKUP(A8,'[1]학생 데이터 입력'!$A$2:$J$198,6,FALSE),"")</f>
        <v/>
      </c>
      <c r="G8" s="5" t="str">
        <f>IFERROR(VLOOKUP(A8,'[1]학생 데이터 입력'!$A$2:$J$198,7,FALSE),"")</f>
        <v/>
      </c>
      <c r="H8" s="7" t="str">
        <f>IFERROR(IF(VLOOKUP(A8,'[1]학생 데이터 입력'!$A$2:$J$198,10,FALSE)=0,"",VLOOKUP(A8,'[1]학생 데이터 입력'!$A$2:$J$198,10,FALSE)),"")</f>
        <v/>
      </c>
    </row>
    <row r="9" spans="2:8" ht="19.5" customHeight="1">
      <c r="B9" s="4"/>
      <c r="C9" s="5" t="str">
        <f>IFERROR(VLOOKUP(A9,'[1]학생 데이터 입력'!$A$2:$J$198,3,FALSE),"")</f>
        <v/>
      </c>
      <c r="D9" s="6" t="str">
        <f>IFERROR(VLOOKUP(A9,'[1]학생 데이터 입력'!$A$2:$K$198,11,FALSE),"")</f>
        <v/>
      </c>
      <c r="E9" s="5" t="str">
        <f>IFERROR(VLOOKUP(A9,'[1]학생 데이터 입력'!$A$2:$J$198,8,FALSE),"")</f>
        <v/>
      </c>
      <c r="F9" s="5" t="str">
        <f>IFERROR(VLOOKUP(A9,'[1]학생 데이터 입력'!$A$2:$J$198,6,FALSE),"")</f>
        <v/>
      </c>
      <c r="G9" s="5" t="str">
        <f>IFERROR(VLOOKUP(A9,'[1]학생 데이터 입력'!$A$2:$J$198,7,FALSE),"")</f>
        <v/>
      </c>
      <c r="H9" s="7" t="str">
        <f>IFERROR(IF(VLOOKUP(A9,'[1]학생 데이터 입력'!$A$2:$J$198,10,FALSE)=0,"",VLOOKUP(A9,'[1]학생 데이터 입력'!$A$2:$J$198,10,FALSE)),"")</f>
        <v/>
      </c>
    </row>
    <row r="10" spans="2:8" ht="20.25" customHeight="1" thickBot="1">
      <c r="B10" s="8"/>
      <c r="C10" s="9" t="str">
        <f>IFERROR(VLOOKUP(A10,'[1]학생 데이터 입력'!$A$2:$J$198,3,FALSE),"")</f>
        <v/>
      </c>
      <c r="D10" s="10" t="str">
        <f>IFERROR(VLOOKUP(A10,'[1]학생 데이터 입력'!$A$2:$K$198,11,FALSE),"")</f>
        <v/>
      </c>
      <c r="E10" s="9" t="str">
        <f>IFERROR(VLOOKUP(A10,'[1]학생 데이터 입력'!$A$2:$J$198,8,FALSE),"")</f>
        <v/>
      </c>
      <c r="F10" s="9" t="str">
        <f>IFERROR(VLOOKUP(A10,'[1]학생 데이터 입력'!$A$2:$J$198,6,FALSE),"")</f>
        <v/>
      </c>
      <c r="G10" s="9" t="str">
        <f>IFERROR(VLOOKUP(A10,'[1]학생 데이터 입력'!$A$2:$J$198,7,FALSE),"")</f>
        <v/>
      </c>
      <c r="H10" s="11" t="str">
        <f>IFERROR(IF(VLOOKUP(A10,'[1]학생 데이터 입력'!$A$2:$J$198,10,FALSE)=0,"",VLOOKUP(A10,'[1]학생 데이터 입력'!$A$2:$J$198,10,FALSE)),"")</f>
        <v/>
      </c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 t="str">
        <f>IFERROR(VLOOKUP(A19,'[1]학생 데이터 입력'!$A$2:$J$198,3,FALSE),"")</f>
        <v/>
      </c>
      <c r="D19" s="6" t="str">
        <f>IFERROR(VLOOKUP(A19,'[1]학생 데이터 입력'!$A$2:$K$198,11,FALSE),"")</f>
        <v/>
      </c>
      <c r="E19" s="5" t="str">
        <f>IFERROR(VLOOKUP(A19,'[1]학생 데이터 입력'!$A$2:$J$198,8,FALSE),"")</f>
        <v/>
      </c>
      <c r="F19" s="5" t="str">
        <f>IFERROR(VLOOKUP(A19,'[1]학생 데이터 입력'!$A$2:$J$198,6,FALSE),"")</f>
        <v/>
      </c>
      <c r="G19" s="5" t="str">
        <f>IFERROR(VLOOKUP(A19,'[1]학생 데이터 입력'!$A$2:$J$198,7,FALSE),"")</f>
        <v/>
      </c>
      <c r="H19" s="7" t="str">
        <f>IFERROR(IF(VLOOKUP(A19,'[1]학생 데이터 입력'!$A$2:$J$198,10,FALSE)=0,"",VLOOKUP(A19,'[1]학생 데이터 입력'!$A$2:$J$198,10,FALSE)),"")</f>
        <v/>
      </c>
    </row>
    <row r="20" spans="1:11" ht="19.5" customHeight="1">
      <c r="B20" s="4">
        <v>2</v>
      </c>
      <c r="C20" s="5" t="str">
        <f>IFERROR(VLOOKUP(A20,'[1]학생 데이터 입력'!$A$2:$J$198,3,FALSE),"")</f>
        <v/>
      </c>
      <c r="D20" s="6" t="str">
        <f>IFERROR(VLOOKUP(A20,'[1]학생 데이터 입력'!$A$2:$K$198,11,FALSE),"")</f>
        <v/>
      </c>
      <c r="E20" s="5" t="str">
        <f>IFERROR(VLOOKUP(A20,'[1]학생 데이터 입력'!$A$2:$J$198,8,FALSE),"")</f>
        <v/>
      </c>
      <c r="F20" s="5" t="str">
        <f>IFERROR(VLOOKUP(A20,'[1]학생 데이터 입력'!$A$2:$J$198,6,FALSE),"")</f>
        <v/>
      </c>
      <c r="G20" s="5" t="str">
        <f>IFERROR(VLOOKUP(A20,'[1]학생 데이터 입력'!$A$2:$J$198,7,FALSE),"")</f>
        <v/>
      </c>
      <c r="H20" s="7" t="str">
        <f>IFERROR(IF(VLOOKUP(A20,'[1]학생 데이터 입력'!$A$2:$J$198,10,FALSE)=0,"",VLOOKUP(A20,'[1]학생 데이터 입력'!$A$2:$J$198,10,FALSE)),"")</f>
        <v/>
      </c>
    </row>
    <row r="21" spans="1:11" ht="19.5" customHeight="1">
      <c r="B21" s="4">
        <v>3</v>
      </c>
      <c r="C21" s="5" t="str">
        <f>IFERROR(VLOOKUP(A21,'[1]학생 데이터 입력'!$A$2:$J$198,3,FALSE),"")</f>
        <v/>
      </c>
      <c r="D21" s="6" t="str">
        <f>IFERROR(VLOOKUP(A21,'[1]학생 데이터 입력'!$A$2:$K$198,11,FALSE),"")</f>
        <v/>
      </c>
      <c r="E21" s="5" t="str">
        <f>IFERROR(VLOOKUP(A21,'[1]학생 데이터 입력'!$A$2:$J$198,8,FALSE),"")</f>
        <v/>
      </c>
      <c r="F21" s="5" t="str">
        <f>IFERROR(VLOOKUP(A21,'[1]학생 데이터 입력'!$A$2:$J$198,6,FALSE),"")</f>
        <v/>
      </c>
      <c r="G21" s="5" t="str">
        <f>IFERROR(VLOOKUP(A21,'[1]학생 데이터 입력'!$A$2:$J$198,7,FALSE),"")</f>
        <v/>
      </c>
      <c r="H21" s="7" t="str">
        <f>IFERROR(IF(VLOOKUP(A21,'[1]학생 데이터 입력'!$A$2:$J$198,10,FALSE)=0,"",VLOOKUP(A21,'[1]학생 데이터 입력'!$A$2:$J$198,10,FALSE)),"")</f>
        <v/>
      </c>
    </row>
    <row r="22" spans="1:11" ht="19.5" customHeight="1">
      <c r="B22" s="4">
        <v>4</v>
      </c>
      <c r="C22" s="5" t="str">
        <f>IFERROR(VLOOKUP(A22,'[1]학생 데이터 입력'!$A$2:$J$198,3,FALSE),"")</f>
        <v/>
      </c>
      <c r="D22" s="6" t="str">
        <f>IFERROR(VLOOKUP(A22,'[1]학생 데이터 입력'!$A$2:$K$198,11,FALSE),"")</f>
        <v/>
      </c>
      <c r="E22" s="5" t="str">
        <f>IFERROR(VLOOKUP(A22,'[1]학생 데이터 입력'!$A$2:$J$198,8,FALSE),"")</f>
        <v/>
      </c>
      <c r="F22" s="5" t="str">
        <f>IFERROR(VLOOKUP(A22,'[1]학생 데이터 입력'!$A$2:$J$198,6,FALSE),"")</f>
        <v/>
      </c>
      <c r="G22" s="5" t="str">
        <f>IFERROR(VLOOKUP(A22,'[1]학생 데이터 입력'!$A$2:$J$198,7,FALSE),"")</f>
        <v/>
      </c>
      <c r="H22" s="7" t="str">
        <f>IFERROR(IF(VLOOKUP(A22,'[1]학생 데이터 입력'!$A$2:$J$198,10,FALSE)=0,"",VLOOKUP(A22,'[1]학생 데이터 입력'!$A$2:$J$198,10,FALSE)),"")</f>
        <v/>
      </c>
    </row>
    <row r="23" spans="1:11" ht="19.5" customHeight="1">
      <c r="B23" s="4">
        <v>5</v>
      </c>
      <c r="C23" s="5" t="str">
        <f>IFERROR(VLOOKUP(A23,'[1]학생 데이터 입력'!$A$2:$J$198,3,FALSE),"")</f>
        <v/>
      </c>
      <c r="D23" s="6" t="str">
        <f>IFERROR(VLOOKUP(A23,'[1]학생 데이터 입력'!$A$2:$K$198,11,FALSE),"")</f>
        <v/>
      </c>
      <c r="E23" s="5" t="str">
        <f>IFERROR(VLOOKUP(A23,'[1]학생 데이터 입력'!$A$2:$J$198,8,FALSE),"")</f>
        <v/>
      </c>
      <c r="F23" s="5" t="str">
        <f>IFERROR(VLOOKUP(A23,'[1]학생 데이터 입력'!$A$2:$J$198,6,FALSE),"")</f>
        <v/>
      </c>
      <c r="G23" s="5" t="str">
        <f>IFERROR(VLOOKUP(A23,'[1]학생 데이터 입력'!$A$2:$J$198,7,FALSE),"")</f>
        <v/>
      </c>
      <c r="H23" s="7" t="str">
        <f>IFERROR(IF(VLOOKUP(A23,'[1]학생 데이터 입력'!$A$2:$J$198,10,FALSE)=0,"",VLOOKUP(A23,'[1]학생 데이터 입력'!$A$2:$J$198,10,FALSE)),"")</f>
        <v/>
      </c>
    </row>
    <row r="24" spans="1:11" s="13" customFormat="1" ht="20.25" customHeight="1" thickBot="1">
      <c r="A24"/>
      <c r="B24" s="8"/>
      <c r="C24" s="9" t="str">
        <f>IFERROR(VLOOKUP(A24,'[1]학생 데이터 입력'!$A$2:$J$198,3,FALSE),"")</f>
        <v/>
      </c>
      <c r="D24" s="10" t="str">
        <f>IFERROR(VLOOKUP(A24,'[1]학생 데이터 입력'!$A$2:$K$198,11,FALSE),"")</f>
        <v/>
      </c>
      <c r="E24" s="9" t="str">
        <f>IFERROR(VLOOKUP(A24,'[1]학생 데이터 입력'!$A$2:$J$198,8,FALSE),"")</f>
        <v/>
      </c>
      <c r="F24" s="9" t="str">
        <f>IFERROR(VLOOKUP(A24,'[1]학생 데이터 입력'!$A$2:$J$198,6,FALSE),"")</f>
        <v/>
      </c>
      <c r="G24" s="9" t="str">
        <f>IFERROR(VLOOKUP(A24,'[1]학생 데이터 입력'!$A$2:$J$198,7,FALSE),"")</f>
        <v/>
      </c>
      <c r="H24" s="11" t="str">
        <f>IFERROR(IF(VLOOKUP(A24,'[1]학생 데이터 입력'!$A$2:$J$198,10,FALSE)=0,"",VLOOKUP(A24,'[1]학생 데이터 입력'!$A$2:$J$198,10,FALSE)),"")</f>
        <v/>
      </c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 t="str">
        <f>IFERROR(VLOOKUP(A33,'[1]학생 데이터 입력'!$A$2:$J$198,3,FALSE),"")</f>
        <v/>
      </c>
      <c r="D33" s="6" t="str">
        <f>IFERROR(VLOOKUP(A33,'[1]학생 데이터 입력'!$A$2:$K$198,11,FALSE),"")</f>
        <v/>
      </c>
      <c r="E33" s="5" t="str">
        <f>IFERROR(VLOOKUP(A33,'[1]학생 데이터 입력'!$A$2:$J$198,8,FALSE),"")</f>
        <v/>
      </c>
      <c r="F33" s="5" t="str">
        <f>IFERROR(VLOOKUP(A33,'[1]학생 데이터 입력'!$A$2:$J$198,6,FALSE),"")</f>
        <v/>
      </c>
      <c r="G33" s="5" t="str">
        <f>IFERROR(VLOOKUP(A33,'[1]학생 데이터 입력'!$A$2:$J$198,7,FALSE),"")</f>
        <v/>
      </c>
      <c r="H33" s="7" t="str">
        <f>IFERROR(IF(VLOOKUP(A33,'[1]학생 데이터 입력'!$A$2:$J$198,10,FALSE)=0,"",VLOOKUP(A33,'[1]학생 데이터 입력'!$A$2:$J$198,10,FALSE)),"")</f>
        <v/>
      </c>
    </row>
    <row r="34" spans="2:8" ht="19.5" customHeight="1">
      <c r="B34" s="4">
        <v>2</v>
      </c>
      <c r="C34" s="5" t="str">
        <f>IFERROR(VLOOKUP(A34,'[1]학생 데이터 입력'!$A$2:$J$198,3,FALSE),"")</f>
        <v/>
      </c>
      <c r="D34" s="6" t="str">
        <f>IFERROR(VLOOKUP(A34,'[1]학생 데이터 입력'!$A$2:$K$198,11,FALSE),"")</f>
        <v/>
      </c>
      <c r="E34" s="5" t="str">
        <f>IFERROR(VLOOKUP(A34,'[1]학생 데이터 입력'!$A$2:$J$198,8,FALSE),"")</f>
        <v/>
      </c>
      <c r="F34" s="5" t="str">
        <f>IFERROR(VLOOKUP(A34,'[1]학생 데이터 입력'!$A$2:$J$198,6,FALSE),"")</f>
        <v/>
      </c>
      <c r="G34" s="5" t="str">
        <f>IFERROR(VLOOKUP(A34,'[1]학생 데이터 입력'!$A$2:$J$198,7,FALSE),"")</f>
        <v/>
      </c>
      <c r="H34" s="7" t="str">
        <f>IFERROR(IF(VLOOKUP(A34,'[1]학생 데이터 입력'!$A$2:$J$198,10,FALSE)=0,"",VLOOKUP(A34,'[1]학생 데이터 입력'!$A$2:$J$198,10,FALSE)),"")</f>
        <v/>
      </c>
    </row>
    <row r="35" spans="2:8" ht="19.5" customHeight="1">
      <c r="B35" s="4">
        <v>3</v>
      </c>
      <c r="C35" s="5" t="str">
        <f>IFERROR(VLOOKUP(A35,'[1]학생 데이터 입력'!$A$2:$J$198,3,FALSE),"")</f>
        <v/>
      </c>
      <c r="D35" s="6" t="str">
        <f>IFERROR(VLOOKUP(A35,'[1]학생 데이터 입력'!$A$2:$K$198,11,FALSE),"")</f>
        <v/>
      </c>
      <c r="E35" s="5" t="str">
        <f>IFERROR(VLOOKUP(A35,'[1]학생 데이터 입력'!$A$2:$J$198,8,FALSE),"")</f>
        <v/>
      </c>
      <c r="F35" s="5" t="str">
        <f>IFERROR(VLOOKUP(A35,'[1]학생 데이터 입력'!$A$2:$J$198,6,FALSE),"")</f>
        <v/>
      </c>
      <c r="G35" s="5" t="str">
        <f>IFERROR(VLOOKUP(A35,'[1]학생 데이터 입력'!$A$2:$J$198,7,FALSE),"")</f>
        <v/>
      </c>
      <c r="H35" s="7" t="str">
        <f>IFERROR(IF(VLOOKUP(A35,'[1]학생 데이터 입력'!$A$2:$J$198,10,FALSE)=0,"",VLOOKUP(A35,'[1]학생 데이터 입력'!$A$2:$J$198,10,FALSE)),"")</f>
        <v/>
      </c>
    </row>
    <row r="36" spans="2:8" ht="19.5" customHeight="1">
      <c r="B36" s="4">
        <v>4</v>
      </c>
      <c r="C36" s="5" t="str">
        <f>IFERROR(VLOOKUP(A36,'[1]학생 데이터 입력'!$A$2:$J$198,3,FALSE),"")</f>
        <v/>
      </c>
      <c r="D36" s="6" t="str">
        <f>IFERROR(VLOOKUP(A36,'[1]학생 데이터 입력'!$A$2:$K$198,11,FALSE),"")</f>
        <v/>
      </c>
      <c r="E36" s="5" t="str">
        <f>IFERROR(VLOOKUP(A36,'[1]학생 데이터 입력'!$A$2:$J$198,8,FALSE),"")</f>
        <v/>
      </c>
      <c r="F36" s="5" t="str">
        <f>IFERROR(VLOOKUP(A36,'[1]학생 데이터 입력'!$A$2:$J$198,6,FALSE),"")</f>
        <v/>
      </c>
      <c r="G36" s="5" t="str">
        <f>IFERROR(VLOOKUP(A36,'[1]학생 데이터 입력'!$A$2:$J$198,7,FALSE),"")</f>
        <v/>
      </c>
      <c r="H36" s="7" t="str">
        <f>IFERROR(IF(VLOOKUP(A36,'[1]학생 데이터 입력'!$A$2:$J$198,10,FALSE)=0,"",VLOOKUP(A36,'[1]학생 데이터 입력'!$A$2:$J$198,10,FALSE)),"")</f>
        <v/>
      </c>
    </row>
    <row r="37" spans="2:8" ht="19.5" customHeight="1">
      <c r="B37" s="4">
        <v>5</v>
      </c>
      <c r="C37" s="5" t="str">
        <f>IFERROR(VLOOKUP(A37,'[1]학생 데이터 입력'!$A$2:$J$198,3,FALSE),"")</f>
        <v/>
      </c>
      <c r="D37" s="6" t="str">
        <f>IFERROR(VLOOKUP(A37,'[1]학생 데이터 입력'!$A$2:$K$198,11,FALSE),"")</f>
        <v/>
      </c>
      <c r="E37" s="5" t="str">
        <f>IFERROR(VLOOKUP(A37,'[1]학생 데이터 입력'!$A$2:$J$198,8,FALSE),"")</f>
        <v/>
      </c>
      <c r="F37" s="5" t="str">
        <f>IFERROR(VLOOKUP(A37,'[1]학생 데이터 입력'!$A$2:$J$198,6,FALSE),"")</f>
        <v/>
      </c>
      <c r="G37" s="5" t="str">
        <f>IFERROR(VLOOKUP(A37,'[1]학생 데이터 입력'!$A$2:$J$198,7,FALSE),"")</f>
        <v/>
      </c>
      <c r="H37" s="7" t="str">
        <f>IFERROR(IF(VLOOKUP(A37,'[1]학생 데이터 입력'!$A$2:$J$198,10,FALSE)=0,"",VLOOKUP(A37,'[1]학생 데이터 입력'!$A$2:$J$198,10,FALSE)),"")</f>
        <v/>
      </c>
    </row>
    <row r="38" spans="2:8" ht="20.25" customHeight="1" thickBot="1">
      <c r="B38" s="8"/>
      <c r="C38" s="9" t="str">
        <f>IFERROR(VLOOKUP(A38,'[1]학생 데이터 입력'!$A$2:$J$198,3,FALSE),"")</f>
        <v/>
      </c>
      <c r="D38" s="10" t="str">
        <f>IFERROR(VLOOKUP(A38,'[1]학생 데이터 입력'!$A$2:$K$198,11,FALSE),"")</f>
        <v/>
      </c>
      <c r="E38" s="9" t="str">
        <f>IFERROR(VLOOKUP(A38,'[1]학생 데이터 입력'!$A$2:$J$198,8,FALSE),"")</f>
        <v/>
      </c>
      <c r="F38" s="9" t="str">
        <f>IFERROR(VLOOKUP(A38,'[1]학생 데이터 입력'!$A$2:$J$198,6,FALSE),"")</f>
        <v/>
      </c>
      <c r="G38" s="9" t="str">
        <f>IFERROR(VLOOKUP(A38,'[1]학생 데이터 입력'!$A$2:$J$198,7,FALSE),"")</f>
        <v/>
      </c>
      <c r="H38" s="11" t="str">
        <f>IFERROR(IF(VLOOKUP(A38,'[1]학생 데이터 입력'!$A$2:$J$198,10,FALSE)=0,"",VLOOKUP(A38,'[1]학생 데이터 입력'!$A$2:$J$198,10,FALSE)),"")</f>
        <v/>
      </c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 t="str">
        <f>IFERROR(VLOOKUP(A47,'[1]학생 데이터 입력'!$A$2:$J$198,3,FALSE),"")</f>
        <v/>
      </c>
      <c r="D47" s="6" t="str">
        <f>IFERROR(VLOOKUP(A47,'[1]학생 데이터 입력'!$A$2:$K$198,11,FALSE),"")</f>
        <v/>
      </c>
      <c r="E47" s="5" t="str">
        <f>IFERROR(VLOOKUP(A47,'[1]학생 데이터 입력'!$A$2:$J$198,8,FALSE),"")</f>
        <v/>
      </c>
      <c r="F47" s="5" t="str">
        <f>IFERROR(VLOOKUP(A47,'[1]학생 데이터 입력'!$A$2:$J$198,6,FALSE),"")</f>
        <v/>
      </c>
      <c r="G47" s="5" t="str">
        <f>IFERROR(VLOOKUP(A47,'[1]학생 데이터 입력'!$A$2:$J$198,7,FALSE),"")</f>
        <v/>
      </c>
      <c r="H47" s="7" t="str">
        <f>IFERROR(IF(VLOOKUP(A47,'[1]학생 데이터 입력'!$A$2:$J$198,10,FALSE)=0,"",VLOOKUP(A47,'[1]학생 데이터 입력'!$A$2:$J$198,10,FALSE)),"")</f>
        <v/>
      </c>
    </row>
    <row r="48" spans="2:8" ht="19.5" customHeight="1">
      <c r="B48" s="4">
        <v>2</v>
      </c>
      <c r="C48" s="5" t="str">
        <f>IFERROR(VLOOKUP(A48,'[1]학생 데이터 입력'!$A$2:$J$198,3,FALSE),"")</f>
        <v/>
      </c>
      <c r="D48" s="6" t="str">
        <f>IFERROR(VLOOKUP(A48,'[1]학생 데이터 입력'!$A$2:$K$198,11,FALSE),"")</f>
        <v/>
      </c>
      <c r="E48" s="5" t="str">
        <f>IFERROR(VLOOKUP(A48,'[1]학생 데이터 입력'!$A$2:$J$198,8,FALSE),"")</f>
        <v/>
      </c>
      <c r="F48" s="5" t="str">
        <f>IFERROR(VLOOKUP(A48,'[1]학생 데이터 입력'!$A$2:$J$198,6,FALSE),"")</f>
        <v/>
      </c>
      <c r="G48" s="5" t="str">
        <f>IFERROR(VLOOKUP(A48,'[1]학생 데이터 입력'!$A$2:$J$198,7,FALSE),"")</f>
        <v/>
      </c>
      <c r="H48" s="7" t="str">
        <f>IFERROR(IF(VLOOKUP(A48,'[1]학생 데이터 입력'!$A$2:$J$198,10,FALSE)=0,"",VLOOKUP(A48,'[1]학생 데이터 입력'!$A$2:$J$198,10,FALSE)),"")</f>
        <v/>
      </c>
    </row>
    <row r="49" spans="2:8" ht="19.5" customHeight="1">
      <c r="B49" s="4">
        <v>3</v>
      </c>
      <c r="C49" s="5" t="str">
        <f>IFERROR(VLOOKUP(A49,'[1]학생 데이터 입력'!$A$2:$J$198,3,FALSE),"")</f>
        <v/>
      </c>
      <c r="D49" s="6" t="str">
        <f>IFERROR(VLOOKUP(A49,'[1]학생 데이터 입력'!$A$2:$K$198,11,FALSE),"")</f>
        <v/>
      </c>
      <c r="E49" s="5" t="str">
        <f>IFERROR(VLOOKUP(A49,'[1]학생 데이터 입력'!$A$2:$J$198,8,FALSE),"")</f>
        <v/>
      </c>
      <c r="F49" s="5" t="str">
        <f>IFERROR(VLOOKUP(A49,'[1]학생 데이터 입력'!$A$2:$J$198,6,FALSE),"")</f>
        <v/>
      </c>
      <c r="G49" s="5" t="str">
        <f>IFERROR(VLOOKUP(A49,'[1]학생 데이터 입력'!$A$2:$J$198,7,FALSE),"")</f>
        <v/>
      </c>
      <c r="H49" s="7" t="str">
        <f>IFERROR(IF(VLOOKUP(A49,'[1]학생 데이터 입력'!$A$2:$J$198,10,FALSE)=0,"",VLOOKUP(A49,'[1]학생 데이터 입력'!$A$2:$J$198,10,FALSE)),"")</f>
        <v/>
      </c>
    </row>
    <row r="50" spans="2:8" ht="19.5" customHeight="1">
      <c r="B50" s="4">
        <v>4</v>
      </c>
      <c r="C50" s="5" t="str">
        <f>IFERROR(VLOOKUP(A50,'[1]학생 데이터 입력'!$A$2:$J$198,3,FALSE),"")</f>
        <v/>
      </c>
      <c r="D50" s="6" t="str">
        <f>IFERROR(VLOOKUP(A50,'[1]학생 데이터 입력'!$A$2:$K$198,11,FALSE),"")</f>
        <v/>
      </c>
      <c r="E50" s="5" t="str">
        <f>IFERROR(VLOOKUP(A50,'[1]학생 데이터 입력'!$A$2:$J$198,8,FALSE),"")</f>
        <v/>
      </c>
      <c r="F50" s="5" t="str">
        <f>IFERROR(VLOOKUP(A50,'[1]학생 데이터 입력'!$A$2:$J$198,6,FALSE),"")</f>
        <v/>
      </c>
      <c r="G50" s="5" t="str">
        <f>IFERROR(VLOOKUP(A50,'[1]학생 데이터 입력'!$A$2:$J$198,7,FALSE),"")</f>
        <v/>
      </c>
      <c r="H50" s="7" t="str">
        <f>IFERROR(IF(VLOOKUP(A50,'[1]학생 데이터 입력'!$A$2:$J$198,10,FALSE)=0,"",VLOOKUP(A50,'[1]학생 데이터 입력'!$A$2:$J$198,10,FALSE)),"")</f>
        <v/>
      </c>
    </row>
    <row r="51" spans="2:8" ht="19.5" customHeight="1">
      <c r="B51" s="4">
        <v>5</v>
      </c>
      <c r="C51" s="5" t="str">
        <f>IFERROR(VLOOKUP(A51,'[1]학생 데이터 입력'!$A$2:$J$198,3,FALSE),"")</f>
        <v/>
      </c>
      <c r="D51" s="6" t="str">
        <f>IFERROR(VLOOKUP(A51,'[1]학생 데이터 입력'!$A$2:$K$198,11,FALSE),"")</f>
        <v/>
      </c>
      <c r="E51" s="5" t="str">
        <f>IFERROR(VLOOKUP(A51,'[1]학생 데이터 입력'!$A$2:$J$198,8,FALSE),"")</f>
        <v/>
      </c>
      <c r="F51" s="5" t="str">
        <f>IFERROR(VLOOKUP(A51,'[1]학생 데이터 입력'!$A$2:$J$198,6,FALSE),"")</f>
        <v/>
      </c>
      <c r="G51" s="5" t="str">
        <f>IFERROR(VLOOKUP(A51,'[1]학생 데이터 입력'!$A$2:$J$198,7,FALSE),"")</f>
        <v/>
      </c>
      <c r="H51" s="7" t="str">
        <f>IFERROR(IF(VLOOKUP(A51,'[1]학생 데이터 입력'!$A$2:$J$198,10,FALSE)=0,"",VLOOKUP(A51,'[1]학생 데이터 입력'!$A$2:$J$198,10,FALSE)),"")</f>
        <v/>
      </c>
    </row>
    <row r="52" spans="2:8" ht="20.25" customHeight="1" thickBot="1">
      <c r="B52" s="8"/>
      <c r="C52" s="9" t="str">
        <f>IFERROR(VLOOKUP(A52,'[1]학생 데이터 입력'!$A$2:$J$198,3,FALSE),"")</f>
        <v/>
      </c>
      <c r="D52" s="10" t="str">
        <f>IFERROR(VLOOKUP(A52,'[1]학생 데이터 입력'!$A$2:$K$198,11,FALSE),"")</f>
        <v/>
      </c>
      <c r="E52" s="9" t="str">
        <f>IFERROR(VLOOKUP(A52,'[1]학생 데이터 입력'!$A$2:$J$198,8,FALSE),"")</f>
        <v/>
      </c>
      <c r="F52" s="9" t="str">
        <f>IFERROR(VLOOKUP(A52,'[1]학생 데이터 입력'!$A$2:$J$198,6,FALSE),"")</f>
        <v/>
      </c>
      <c r="G52" s="9" t="str">
        <f>IFERROR(VLOOKUP(A52,'[1]학생 데이터 입력'!$A$2:$J$198,7,FALSE),"")</f>
        <v/>
      </c>
      <c r="H52" s="11" t="str">
        <f>IFERROR(IF(VLOOKUP(A52,'[1]학생 데이터 입력'!$A$2:$J$198,10,FALSE)=0,"",VLOOKUP(A52,'[1]학생 데이터 입력'!$A$2:$J$198,10,FALSE)),"")</f>
        <v/>
      </c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6B53-C83A-4210-9F0A-4B44E55D8B75}">
  <sheetPr codeName="Sheet13"/>
  <dimension ref="A2:K54"/>
  <sheetViews>
    <sheetView topLeftCell="A40" zoomScale="145" zoomScaleNormal="145" workbookViewId="0">
      <selection activeCell="A52" sqref="A52:XFD52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/>
      <c r="D5" s="6"/>
      <c r="E5" s="5"/>
      <c r="F5" s="5"/>
      <c r="G5" s="5"/>
      <c r="H5" s="7"/>
    </row>
    <row r="6" spans="2:8" ht="19.5" customHeight="1">
      <c r="B6" s="4">
        <v>2</v>
      </c>
      <c r="C6" s="5"/>
      <c r="D6" s="6"/>
      <c r="E6" s="5"/>
      <c r="F6" s="5"/>
      <c r="G6" s="5"/>
      <c r="H6" s="7"/>
    </row>
    <row r="7" spans="2:8" ht="19.5" customHeight="1">
      <c r="B7" s="4">
        <v>3</v>
      </c>
      <c r="C7" s="5"/>
      <c r="D7" s="6"/>
      <c r="E7" s="5"/>
      <c r="F7" s="5"/>
      <c r="G7" s="5"/>
      <c r="H7" s="7"/>
    </row>
    <row r="8" spans="2:8" ht="19.5" customHeight="1">
      <c r="B8" s="4">
        <v>4</v>
      </c>
      <c r="C8" s="5"/>
      <c r="D8" s="6"/>
      <c r="E8" s="5"/>
      <c r="F8" s="5"/>
      <c r="G8" s="5"/>
      <c r="H8" s="7"/>
    </row>
    <row r="9" spans="2:8" ht="19.5" customHeight="1">
      <c r="B9" s="4"/>
      <c r="C9" s="5"/>
      <c r="D9" s="6"/>
      <c r="E9" s="5"/>
      <c r="F9" s="5"/>
      <c r="G9" s="5"/>
      <c r="H9" s="7"/>
    </row>
    <row r="10" spans="2:8" ht="20.25" customHeight="1" thickBot="1">
      <c r="B10" s="8"/>
      <c r="C10" s="9"/>
      <c r="D10" s="10"/>
      <c r="E10" s="9"/>
      <c r="F10" s="9"/>
      <c r="G10" s="9"/>
      <c r="H10" s="11"/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/>
      <c r="D19" s="6"/>
      <c r="E19" s="5"/>
      <c r="F19" s="5"/>
      <c r="G19" s="5"/>
      <c r="H19" s="7"/>
    </row>
    <row r="20" spans="1:11" ht="19.5" customHeight="1">
      <c r="B20" s="4">
        <v>2</v>
      </c>
      <c r="C20" s="5"/>
      <c r="D20" s="6"/>
      <c r="E20" s="5"/>
      <c r="F20" s="5"/>
      <c r="G20" s="5"/>
      <c r="H20" s="7"/>
    </row>
    <row r="21" spans="1:11" ht="19.5" customHeight="1">
      <c r="B21" s="4">
        <v>3</v>
      </c>
      <c r="C21" s="5"/>
      <c r="D21" s="6"/>
      <c r="E21" s="5"/>
      <c r="F21" s="5"/>
      <c r="G21" s="5"/>
      <c r="H21" s="7"/>
    </row>
    <row r="22" spans="1:11" ht="19.5" customHeight="1">
      <c r="B22" s="4">
        <v>4</v>
      </c>
      <c r="C22" s="5"/>
      <c r="D22" s="6"/>
      <c r="E22" s="5"/>
      <c r="F22" s="5"/>
      <c r="G22" s="5"/>
      <c r="H22" s="7"/>
    </row>
    <row r="23" spans="1:11" ht="19.5" customHeight="1">
      <c r="B23" s="4">
        <v>5</v>
      </c>
      <c r="C23" s="5"/>
      <c r="D23" s="6"/>
      <c r="E23" s="5"/>
      <c r="F23" s="5"/>
      <c r="G23" s="5"/>
      <c r="H23" s="7"/>
    </row>
    <row r="24" spans="1:11" s="13" customFormat="1" ht="20.25" customHeight="1" thickBot="1">
      <c r="A24"/>
      <c r="B24" s="8"/>
      <c r="C24" s="9"/>
      <c r="D24" s="10"/>
      <c r="E24" s="9"/>
      <c r="F24" s="9"/>
      <c r="G24" s="9"/>
      <c r="H24" s="11"/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/>
      <c r="D33" s="6"/>
      <c r="E33" s="5"/>
      <c r="F33" s="5"/>
      <c r="G33" s="5"/>
      <c r="H33" s="7"/>
    </row>
    <row r="34" spans="2:8" ht="19.5" customHeight="1">
      <c r="B34" s="4">
        <v>2</v>
      </c>
      <c r="C34" s="5"/>
      <c r="D34" s="6"/>
      <c r="E34" s="5"/>
      <c r="F34" s="5"/>
      <c r="G34" s="5"/>
      <c r="H34" s="7"/>
    </row>
    <row r="35" spans="2:8" ht="19.5" customHeight="1">
      <c r="B35" s="4">
        <v>3</v>
      </c>
      <c r="C35" s="5"/>
      <c r="D35" s="6"/>
      <c r="E35" s="5"/>
      <c r="F35" s="5"/>
      <c r="G35" s="5"/>
      <c r="H35" s="7"/>
    </row>
    <row r="36" spans="2:8" ht="19.5" customHeight="1">
      <c r="B36" s="4">
        <v>4</v>
      </c>
      <c r="C36" s="5"/>
      <c r="D36" s="6"/>
      <c r="E36" s="5"/>
      <c r="F36" s="5"/>
      <c r="G36" s="5"/>
      <c r="H36" s="7"/>
    </row>
    <row r="37" spans="2:8" ht="19.5" customHeight="1">
      <c r="B37" s="4">
        <v>5</v>
      </c>
      <c r="C37" s="5"/>
      <c r="D37" s="6"/>
      <c r="E37" s="5"/>
      <c r="F37" s="5"/>
      <c r="G37" s="5"/>
      <c r="H37" s="7"/>
    </row>
    <row r="38" spans="2:8" ht="20.25" customHeight="1" thickBot="1">
      <c r="B38" s="4">
        <v>6</v>
      </c>
      <c r="C38" s="9"/>
      <c r="D38" s="10"/>
      <c r="E38" s="9"/>
      <c r="F38" s="9"/>
      <c r="G38" s="9"/>
      <c r="H38" s="11"/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/>
      <c r="D47" s="6"/>
      <c r="E47" s="5"/>
      <c r="F47" s="5"/>
      <c r="G47" s="5"/>
      <c r="H47" s="7"/>
    </row>
    <row r="48" spans="2:8" ht="19.5" customHeight="1">
      <c r="B48" s="4">
        <v>2</v>
      </c>
      <c r="C48" s="5"/>
      <c r="D48" s="6"/>
      <c r="E48" s="5"/>
      <c r="F48" s="5"/>
      <c r="G48" s="5"/>
      <c r="H48" s="7"/>
    </row>
    <row r="49" spans="2:8" ht="19.5" customHeight="1">
      <c r="B49" s="4">
        <v>3</v>
      </c>
      <c r="C49" s="5"/>
      <c r="D49" s="6"/>
      <c r="E49" s="5"/>
      <c r="F49" s="5"/>
      <c r="G49" s="5"/>
      <c r="H49" s="7"/>
    </row>
    <row r="50" spans="2:8" ht="19.5" customHeight="1">
      <c r="B50" s="4">
        <v>4</v>
      </c>
      <c r="C50" s="5"/>
      <c r="D50" s="6"/>
      <c r="E50" s="5"/>
      <c r="F50" s="5"/>
      <c r="G50" s="5"/>
      <c r="H50" s="7"/>
    </row>
    <row r="51" spans="2:8" ht="19.5">
      <c r="B51" s="4">
        <v>5</v>
      </c>
      <c r="C51" s="5"/>
      <c r="D51" s="6"/>
      <c r="E51" s="5"/>
      <c r="F51" s="5"/>
      <c r="G51" s="5"/>
      <c r="H51" s="7"/>
    </row>
    <row r="52" spans="2:8" ht="20.25" customHeight="1" thickBot="1">
      <c r="B52" s="8"/>
      <c r="C52" s="9"/>
      <c r="D52" s="10"/>
      <c r="E52" s="9"/>
      <c r="F52" s="9"/>
      <c r="G52" s="9"/>
      <c r="H52" s="11"/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E33B-D90E-4921-9A22-D71CCC9E1698}">
  <sheetPr codeName="Sheet14"/>
  <dimension ref="A2:K54"/>
  <sheetViews>
    <sheetView topLeftCell="A52" zoomScale="145" zoomScaleNormal="145" workbookViewId="0">
      <selection activeCell="E14" sqref="E14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 t="str">
        <f>IFERROR(VLOOKUP(A5,'[1]학생 데이터 입력'!$A$2:$J$198,3,FALSE),"")</f>
        <v/>
      </c>
      <c r="D5" s="6" t="str">
        <f>IFERROR(VLOOKUP(A5,'[1]학생 데이터 입력'!$A$2:$K$198,11,FALSE),"")</f>
        <v/>
      </c>
      <c r="E5" s="5" t="str">
        <f>IFERROR(VLOOKUP(A5,'[1]학생 데이터 입력'!$A$2:$J$198,8,FALSE),"")</f>
        <v/>
      </c>
      <c r="F5" s="5" t="str">
        <f>IFERROR(VLOOKUP(A5,'[1]학생 데이터 입력'!$A$2:$J$198,6,FALSE),"")</f>
        <v/>
      </c>
      <c r="G5" s="5" t="str">
        <f>IFERROR(VLOOKUP(A5,'[1]학생 데이터 입력'!$A$2:$J$198,7,FALSE),"")</f>
        <v/>
      </c>
      <c r="H5" s="7" t="str">
        <f>IFERROR(IF(VLOOKUP(A5,'[1]학생 데이터 입력'!$A$2:$J$198,10,FALSE)=0,"",VLOOKUP(A5,'[1]학생 데이터 입력'!$A$2:$J$198,10,FALSE)),"")</f>
        <v/>
      </c>
    </row>
    <row r="6" spans="2:8" ht="19.5" customHeight="1">
      <c r="B6" s="4">
        <v>2</v>
      </c>
      <c r="C6" s="5" t="str">
        <f>IFERROR(VLOOKUP(A6,'[1]학생 데이터 입력'!$A$2:$J$198,3,FALSE),"")</f>
        <v/>
      </c>
      <c r="D6" s="6" t="str">
        <f>IFERROR(VLOOKUP(A6,'[1]학생 데이터 입력'!$A$2:$K$198,11,FALSE),"")</f>
        <v/>
      </c>
      <c r="E6" s="5" t="str">
        <f>IFERROR(VLOOKUP(A6,'[1]학생 데이터 입력'!$A$2:$J$198,8,FALSE),"")</f>
        <v/>
      </c>
      <c r="F6" s="5" t="str">
        <f>IFERROR(VLOOKUP(A6,'[1]학생 데이터 입력'!$A$2:$J$198,6,FALSE),"")</f>
        <v/>
      </c>
      <c r="G6" s="5" t="str">
        <f>IFERROR(VLOOKUP(A6,'[1]학생 데이터 입력'!$A$2:$J$198,7,FALSE),"")</f>
        <v/>
      </c>
      <c r="H6" s="7" t="str">
        <f>IFERROR(IF(VLOOKUP(A6,'[1]학생 데이터 입력'!$A$2:$J$198,10,FALSE)=0,"",VLOOKUP(A6,'[1]학생 데이터 입력'!$A$2:$J$198,10,FALSE)),"")</f>
        <v/>
      </c>
    </row>
    <row r="7" spans="2:8" ht="19.5" customHeight="1">
      <c r="B7" s="4">
        <v>3</v>
      </c>
      <c r="C7" s="5" t="str">
        <f>IFERROR(VLOOKUP(A7,'[1]학생 데이터 입력'!$A$2:$J$198,3,FALSE),"")</f>
        <v/>
      </c>
      <c r="D7" s="6" t="str">
        <f>IFERROR(VLOOKUP(A7,'[1]학생 데이터 입력'!$A$2:$K$198,11,FALSE),"")</f>
        <v/>
      </c>
      <c r="E7" s="5" t="str">
        <f>IFERROR(VLOOKUP(A7,'[1]학생 데이터 입력'!$A$2:$J$198,8,FALSE),"")</f>
        <v/>
      </c>
      <c r="F7" s="5" t="str">
        <f>IFERROR(VLOOKUP(A7,'[1]학생 데이터 입력'!$A$2:$J$198,6,FALSE),"")</f>
        <v/>
      </c>
      <c r="G7" s="5" t="str">
        <f>IFERROR(VLOOKUP(A7,'[1]학생 데이터 입력'!$A$2:$J$198,7,FALSE),"")</f>
        <v/>
      </c>
      <c r="H7" s="7" t="str">
        <f>IFERROR(IF(VLOOKUP(A7,'[1]학생 데이터 입력'!$A$2:$J$198,10,FALSE)=0,"",VLOOKUP(A7,'[1]학생 데이터 입력'!$A$2:$J$198,10,FALSE)),"")</f>
        <v/>
      </c>
    </row>
    <row r="8" spans="2:8" ht="19.5" customHeight="1">
      <c r="B8" s="4">
        <v>4</v>
      </c>
      <c r="C8" s="5" t="str">
        <f>IFERROR(VLOOKUP(A8,'[1]학생 데이터 입력'!$A$2:$J$198,3,FALSE),"")</f>
        <v/>
      </c>
      <c r="D8" s="6" t="str">
        <f>IFERROR(VLOOKUP(A8,'[1]학생 데이터 입력'!$A$2:$K$198,11,FALSE),"")</f>
        <v/>
      </c>
      <c r="E8" s="5" t="str">
        <f>IFERROR(VLOOKUP(A8,'[1]학생 데이터 입력'!$A$2:$J$198,8,FALSE),"")</f>
        <v/>
      </c>
      <c r="F8" s="5" t="str">
        <f>IFERROR(VLOOKUP(A8,'[1]학생 데이터 입력'!$A$2:$J$198,6,FALSE),"")</f>
        <v/>
      </c>
      <c r="G8" s="5" t="str">
        <f>IFERROR(VLOOKUP(A8,'[1]학생 데이터 입력'!$A$2:$J$198,7,FALSE),"")</f>
        <v/>
      </c>
      <c r="H8" s="7" t="str">
        <f>IFERROR(IF(VLOOKUP(A8,'[1]학생 데이터 입력'!$A$2:$J$198,10,FALSE)=0,"",VLOOKUP(A8,'[1]학생 데이터 입력'!$A$2:$J$198,10,FALSE)),"")</f>
        <v/>
      </c>
    </row>
    <row r="9" spans="2:8" ht="19.5" customHeight="1">
      <c r="B9" s="4"/>
      <c r="C9" s="5" t="str">
        <f>IFERROR(VLOOKUP(A9,'[1]학생 데이터 입력'!$A$2:$J$198,3,FALSE),"")</f>
        <v/>
      </c>
      <c r="D9" s="6" t="str">
        <f>IFERROR(VLOOKUP(A9,'[1]학생 데이터 입력'!$A$2:$K$198,11,FALSE),"")</f>
        <v/>
      </c>
      <c r="E9" s="5" t="str">
        <f>IFERROR(VLOOKUP(A9,'[1]학생 데이터 입력'!$A$2:$J$198,8,FALSE),"")</f>
        <v/>
      </c>
      <c r="F9" s="5" t="str">
        <f>IFERROR(VLOOKUP(A9,'[1]학생 데이터 입력'!$A$2:$J$198,6,FALSE),"")</f>
        <v/>
      </c>
      <c r="G9" s="5" t="str">
        <f>IFERROR(VLOOKUP(A9,'[1]학생 데이터 입력'!$A$2:$J$198,7,FALSE),"")</f>
        <v/>
      </c>
      <c r="H9" s="7" t="str">
        <f>IFERROR(IF(VLOOKUP(A9,'[1]학생 데이터 입력'!$A$2:$J$198,10,FALSE)=0,"",VLOOKUP(A9,'[1]학생 데이터 입력'!$A$2:$J$198,10,FALSE)),"")</f>
        <v/>
      </c>
    </row>
    <row r="10" spans="2:8" ht="20.25" customHeight="1" thickBot="1">
      <c r="B10" s="8"/>
      <c r="C10" s="9" t="str">
        <f>IFERROR(VLOOKUP(A10,'[1]학생 데이터 입력'!$A$2:$J$198,3,FALSE),"")</f>
        <v/>
      </c>
      <c r="D10" s="10" t="str">
        <f>IFERROR(VLOOKUP(A10,'[1]학생 데이터 입력'!$A$2:$K$198,11,FALSE),"")</f>
        <v/>
      </c>
      <c r="E10" s="9" t="str">
        <f>IFERROR(VLOOKUP(A10,'[1]학생 데이터 입력'!$A$2:$J$198,8,FALSE),"")</f>
        <v/>
      </c>
      <c r="F10" s="9" t="str">
        <f>IFERROR(VLOOKUP(A10,'[1]학생 데이터 입력'!$A$2:$J$198,6,FALSE),"")</f>
        <v/>
      </c>
      <c r="G10" s="9" t="str">
        <f>IFERROR(VLOOKUP(A10,'[1]학생 데이터 입력'!$A$2:$J$198,7,FALSE),"")</f>
        <v/>
      </c>
      <c r="H10" s="11" t="str">
        <f>IFERROR(IF(VLOOKUP(A10,'[1]학생 데이터 입력'!$A$2:$J$198,10,FALSE)=0,"",VLOOKUP(A10,'[1]학생 데이터 입력'!$A$2:$J$198,10,FALSE)),"")</f>
        <v/>
      </c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 t="str">
        <f>IFERROR(VLOOKUP(A19,'[1]학생 데이터 입력'!$A$2:$J$198,3,FALSE),"")</f>
        <v/>
      </c>
      <c r="D19" s="6" t="str">
        <f>IFERROR(VLOOKUP(A19,'[1]학생 데이터 입력'!$A$2:$K$198,11,FALSE),"")</f>
        <v/>
      </c>
      <c r="E19" s="5" t="str">
        <f>IFERROR(VLOOKUP(A19,'[1]학생 데이터 입력'!$A$2:$J$198,8,FALSE),"")</f>
        <v/>
      </c>
      <c r="F19" s="5" t="str">
        <f>IFERROR(VLOOKUP(A19,'[1]학생 데이터 입력'!$A$2:$J$198,6,FALSE),"")</f>
        <v/>
      </c>
      <c r="G19" s="5" t="str">
        <f>IFERROR(VLOOKUP(A19,'[1]학생 데이터 입력'!$A$2:$J$198,7,FALSE),"")</f>
        <v/>
      </c>
      <c r="H19" s="7" t="str">
        <f>IFERROR(IF(VLOOKUP(A19,'[1]학생 데이터 입력'!$A$2:$J$198,10,FALSE)=0,"",VLOOKUP(A19,'[1]학생 데이터 입력'!$A$2:$J$198,10,FALSE)),"")</f>
        <v/>
      </c>
    </row>
    <row r="20" spans="1:11" ht="19.5" customHeight="1">
      <c r="B20" s="4">
        <v>2</v>
      </c>
      <c r="C20" s="5" t="str">
        <f>IFERROR(VLOOKUP(A20,'[1]학생 데이터 입력'!$A$2:$J$198,3,FALSE),"")</f>
        <v/>
      </c>
      <c r="D20" s="6" t="str">
        <f>IFERROR(VLOOKUP(A20,'[1]학생 데이터 입력'!$A$2:$K$198,11,FALSE),"")</f>
        <v/>
      </c>
      <c r="E20" s="5" t="str">
        <f>IFERROR(VLOOKUP(A20,'[1]학생 데이터 입력'!$A$2:$J$198,8,FALSE),"")</f>
        <v/>
      </c>
      <c r="F20" s="5" t="str">
        <f>IFERROR(VLOOKUP(A20,'[1]학생 데이터 입력'!$A$2:$J$198,6,FALSE),"")</f>
        <v/>
      </c>
      <c r="G20" s="5" t="str">
        <f>IFERROR(VLOOKUP(A20,'[1]학생 데이터 입력'!$A$2:$J$198,7,FALSE),"")</f>
        <v/>
      </c>
      <c r="H20" s="7" t="str">
        <f>IFERROR(IF(VLOOKUP(A20,'[1]학생 데이터 입력'!$A$2:$J$198,10,FALSE)=0,"",VLOOKUP(A20,'[1]학생 데이터 입력'!$A$2:$J$198,10,FALSE)),"")</f>
        <v/>
      </c>
    </row>
    <row r="21" spans="1:11" ht="19.5" customHeight="1">
      <c r="B21" s="4">
        <v>3</v>
      </c>
      <c r="C21" s="5" t="str">
        <f>IFERROR(VLOOKUP(A21,'[1]학생 데이터 입력'!$A$2:$J$198,3,FALSE),"")</f>
        <v/>
      </c>
      <c r="D21" s="6" t="str">
        <f>IFERROR(VLOOKUP(A21,'[1]학생 데이터 입력'!$A$2:$K$198,11,FALSE),"")</f>
        <v/>
      </c>
      <c r="E21" s="5" t="str">
        <f>IFERROR(VLOOKUP(A21,'[1]학생 데이터 입력'!$A$2:$J$198,8,FALSE),"")</f>
        <v/>
      </c>
      <c r="F21" s="5" t="str">
        <f>IFERROR(VLOOKUP(A21,'[1]학생 데이터 입력'!$A$2:$J$198,6,FALSE),"")</f>
        <v/>
      </c>
      <c r="G21" s="5" t="str">
        <f>IFERROR(VLOOKUP(A21,'[1]학생 데이터 입력'!$A$2:$J$198,7,FALSE),"")</f>
        <v/>
      </c>
      <c r="H21" s="7" t="str">
        <f>IFERROR(IF(VLOOKUP(A21,'[1]학생 데이터 입력'!$A$2:$J$198,10,FALSE)=0,"",VLOOKUP(A21,'[1]학생 데이터 입력'!$A$2:$J$198,10,FALSE)),"")</f>
        <v/>
      </c>
    </row>
    <row r="22" spans="1:11" ht="19.5" customHeight="1">
      <c r="B22" s="4">
        <v>4</v>
      </c>
      <c r="C22" s="5" t="str">
        <f>IFERROR(VLOOKUP(A22,'[1]학생 데이터 입력'!$A$2:$J$198,3,FALSE),"")</f>
        <v/>
      </c>
      <c r="D22" s="6" t="str">
        <f>IFERROR(VLOOKUP(A22,'[1]학생 데이터 입력'!$A$2:$K$198,11,FALSE),"")</f>
        <v/>
      </c>
      <c r="E22" s="5" t="str">
        <f>IFERROR(VLOOKUP(A22,'[1]학생 데이터 입력'!$A$2:$J$198,8,FALSE),"")</f>
        <v/>
      </c>
      <c r="F22" s="5" t="str">
        <f>IFERROR(VLOOKUP(A22,'[1]학생 데이터 입력'!$A$2:$J$198,6,FALSE),"")</f>
        <v/>
      </c>
      <c r="G22" s="5" t="str">
        <f>IFERROR(VLOOKUP(A22,'[1]학생 데이터 입력'!$A$2:$J$198,7,FALSE),"")</f>
        <v/>
      </c>
      <c r="H22" s="7" t="str">
        <f>IFERROR(IF(VLOOKUP(A22,'[1]학생 데이터 입력'!$A$2:$J$198,10,FALSE)=0,"",VLOOKUP(A22,'[1]학생 데이터 입력'!$A$2:$J$198,10,FALSE)),"")</f>
        <v/>
      </c>
    </row>
    <row r="23" spans="1:11" ht="19.5" customHeight="1">
      <c r="B23" s="4">
        <v>5</v>
      </c>
      <c r="C23" s="5" t="str">
        <f>IFERROR(VLOOKUP(A23,'[1]학생 데이터 입력'!$A$2:$J$198,3,FALSE),"")</f>
        <v/>
      </c>
      <c r="D23" s="6" t="str">
        <f>IFERROR(VLOOKUP(A23,'[1]학생 데이터 입력'!$A$2:$K$198,11,FALSE),"")</f>
        <v/>
      </c>
      <c r="E23" s="5" t="str">
        <f>IFERROR(VLOOKUP(A23,'[1]학생 데이터 입력'!$A$2:$J$198,8,FALSE),"")</f>
        <v/>
      </c>
      <c r="F23" s="5" t="str">
        <f>IFERROR(VLOOKUP(A23,'[1]학생 데이터 입력'!$A$2:$J$198,6,FALSE),"")</f>
        <v/>
      </c>
      <c r="G23" s="5" t="str">
        <f>IFERROR(VLOOKUP(A23,'[1]학생 데이터 입력'!$A$2:$J$198,7,FALSE),"")</f>
        <v/>
      </c>
      <c r="H23" s="7" t="str">
        <f>IFERROR(IF(VLOOKUP(A23,'[1]학생 데이터 입력'!$A$2:$J$198,10,FALSE)=0,"",VLOOKUP(A23,'[1]학생 데이터 입력'!$A$2:$J$198,10,FALSE)),"")</f>
        <v/>
      </c>
    </row>
    <row r="24" spans="1:11" s="13" customFormat="1" ht="20.25" customHeight="1" thickBot="1">
      <c r="A24"/>
      <c r="B24" s="8"/>
      <c r="C24" s="9" t="str">
        <f>IFERROR(VLOOKUP(A24,'[1]학생 데이터 입력'!$A$2:$J$198,3,FALSE),"")</f>
        <v/>
      </c>
      <c r="D24" s="10" t="str">
        <f>IFERROR(VLOOKUP(A24,'[1]학생 데이터 입력'!$A$2:$K$198,11,FALSE),"")</f>
        <v/>
      </c>
      <c r="E24" s="9" t="str">
        <f>IFERROR(VLOOKUP(A24,'[1]학생 데이터 입력'!$A$2:$J$198,8,FALSE),"")</f>
        <v/>
      </c>
      <c r="F24" s="9" t="str">
        <f>IFERROR(VLOOKUP(A24,'[1]학생 데이터 입력'!$A$2:$J$198,6,FALSE),"")</f>
        <v/>
      </c>
      <c r="G24" s="9" t="str">
        <f>IFERROR(VLOOKUP(A24,'[1]학생 데이터 입력'!$A$2:$J$198,7,FALSE),"")</f>
        <v/>
      </c>
      <c r="H24" s="11" t="str">
        <f>IFERROR(IF(VLOOKUP(A24,'[1]학생 데이터 입력'!$A$2:$J$198,10,FALSE)=0,"",VLOOKUP(A24,'[1]학생 데이터 입력'!$A$2:$J$198,10,FALSE)),"")</f>
        <v/>
      </c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 t="str">
        <f>IFERROR(VLOOKUP(A33,'[1]학생 데이터 입력'!$A$2:$J$198,3,FALSE),"")</f>
        <v/>
      </c>
      <c r="D33" s="6" t="str">
        <f>IFERROR(VLOOKUP(A33,'[1]학생 데이터 입력'!$A$2:$K$198,11,FALSE),"")</f>
        <v/>
      </c>
      <c r="E33" s="5" t="str">
        <f>IFERROR(VLOOKUP(A33,'[1]학생 데이터 입력'!$A$2:$J$198,8,FALSE),"")</f>
        <v/>
      </c>
      <c r="F33" s="5" t="str">
        <f>IFERROR(VLOOKUP(A33,'[1]학생 데이터 입력'!$A$2:$J$198,6,FALSE),"")</f>
        <v/>
      </c>
      <c r="G33" s="5" t="str">
        <f>IFERROR(VLOOKUP(A33,'[1]학생 데이터 입력'!$A$2:$J$198,7,FALSE),"")</f>
        <v/>
      </c>
      <c r="H33" s="7" t="str">
        <f>IFERROR(IF(VLOOKUP(A33,'[1]학생 데이터 입력'!$A$2:$J$198,10,FALSE)=0,"",VLOOKUP(A33,'[1]학생 데이터 입력'!$A$2:$J$198,10,FALSE)),"")</f>
        <v/>
      </c>
    </row>
    <row r="34" spans="2:8" ht="19.5" customHeight="1">
      <c r="B34" s="4">
        <v>2</v>
      </c>
      <c r="C34" s="5" t="str">
        <f>IFERROR(VLOOKUP(A34,'[1]학생 데이터 입력'!$A$2:$J$198,3,FALSE),"")</f>
        <v/>
      </c>
      <c r="D34" s="6" t="str">
        <f>IFERROR(VLOOKUP(A34,'[1]학생 데이터 입력'!$A$2:$K$198,11,FALSE),"")</f>
        <v/>
      </c>
      <c r="E34" s="5" t="str">
        <f>IFERROR(VLOOKUP(A34,'[1]학생 데이터 입력'!$A$2:$J$198,8,FALSE),"")</f>
        <v/>
      </c>
      <c r="F34" s="5" t="str">
        <f>IFERROR(VLOOKUP(A34,'[1]학생 데이터 입력'!$A$2:$J$198,6,FALSE),"")</f>
        <v/>
      </c>
      <c r="G34" s="5" t="str">
        <f>IFERROR(VLOOKUP(A34,'[1]학생 데이터 입력'!$A$2:$J$198,7,FALSE),"")</f>
        <v/>
      </c>
      <c r="H34" s="7" t="str">
        <f>IFERROR(IF(VLOOKUP(A34,'[1]학생 데이터 입력'!$A$2:$J$198,10,FALSE)=0,"",VLOOKUP(A34,'[1]학생 데이터 입력'!$A$2:$J$198,10,FALSE)),"")</f>
        <v/>
      </c>
    </row>
    <row r="35" spans="2:8" ht="19.5" customHeight="1">
      <c r="B35" s="4">
        <v>3</v>
      </c>
      <c r="C35" s="5" t="str">
        <f>IFERROR(VLOOKUP(A35,'[1]학생 데이터 입력'!$A$2:$J$198,3,FALSE),"")</f>
        <v/>
      </c>
      <c r="D35" s="6" t="str">
        <f>IFERROR(VLOOKUP(A35,'[1]학생 데이터 입력'!$A$2:$K$198,11,FALSE),"")</f>
        <v/>
      </c>
      <c r="E35" s="5" t="str">
        <f>IFERROR(VLOOKUP(A35,'[1]학생 데이터 입력'!$A$2:$J$198,8,FALSE),"")</f>
        <v/>
      </c>
      <c r="F35" s="5" t="str">
        <f>IFERROR(VLOOKUP(A35,'[1]학생 데이터 입력'!$A$2:$J$198,6,FALSE),"")</f>
        <v/>
      </c>
      <c r="G35" s="5" t="str">
        <f>IFERROR(VLOOKUP(A35,'[1]학생 데이터 입력'!$A$2:$J$198,7,FALSE),"")</f>
        <v/>
      </c>
      <c r="H35" s="7" t="str">
        <f>IFERROR(IF(VLOOKUP(A35,'[1]학생 데이터 입력'!$A$2:$J$198,10,FALSE)=0,"",VLOOKUP(A35,'[1]학생 데이터 입력'!$A$2:$J$198,10,FALSE)),"")</f>
        <v/>
      </c>
    </row>
    <row r="36" spans="2:8" ht="19.5" customHeight="1">
      <c r="B36" s="4">
        <v>4</v>
      </c>
      <c r="C36" s="5" t="str">
        <f>IFERROR(VLOOKUP(A36,'[1]학생 데이터 입력'!$A$2:$J$198,3,FALSE),"")</f>
        <v/>
      </c>
      <c r="D36" s="6" t="str">
        <f>IFERROR(VLOOKUP(A36,'[1]학생 데이터 입력'!$A$2:$K$198,11,FALSE),"")</f>
        <v/>
      </c>
      <c r="E36" s="5" t="str">
        <f>IFERROR(VLOOKUP(A36,'[1]학생 데이터 입력'!$A$2:$J$198,8,FALSE),"")</f>
        <v/>
      </c>
      <c r="F36" s="5" t="str">
        <f>IFERROR(VLOOKUP(A36,'[1]학생 데이터 입력'!$A$2:$J$198,6,FALSE),"")</f>
        <v/>
      </c>
      <c r="G36" s="5" t="str">
        <f>IFERROR(VLOOKUP(A36,'[1]학생 데이터 입력'!$A$2:$J$198,7,FALSE),"")</f>
        <v/>
      </c>
      <c r="H36" s="7" t="str">
        <f>IFERROR(IF(VLOOKUP(A36,'[1]학생 데이터 입력'!$A$2:$J$198,10,FALSE)=0,"",VLOOKUP(A36,'[1]학생 데이터 입력'!$A$2:$J$198,10,FALSE)),"")</f>
        <v/>
      </c>
    </row>
    <row r="37" spans="2:8" ht="19.5" customHeight="1">
      <c r="B37" s="4">
        <v>5</v>
      </c>
      <c r="C37" s="5" t="str">
        <f>IFERROR(VLOOKUP(A37,'[1]학생 데이터 입력'!$A$2:$J$198,3,FALSE),"")</f>
        <v/>
      </c>
      <c r="D37" s="6" t="str">
        <f>IFERROR(VLOOKUP(A37,'[1]학생 데이터 입력'!$A$2:$K$198,11,FALSE),"")</f>
        <v/>
      </c>
      <c r="E37" s="5" t="str">
        <f>IFERROR(VLOOKUP(A37,'[1]학생 데이터 입력'!$A$2:$J$198,8,FALSE),"")</f>
        <v/>
      </c>
      <c r="F37" s="5" t="str">
        <f>IFERROR(VLOOKUP(A37,'[1]학생 데이터 입력'!$A$2:$J$198,6,FALSE),"")</f>
        <v/>
      </c>
      <c r="G37" s="5" t="str">
        <f>IFERROR(VLOOKUP(A37,'[1]학생 데이터 입력'!$A$2:$J$198,7,FALSE),"")</f>
        <v/>
      </c>
      <c r="H37" s="7" t="str">
        <f>IFERROR(IF(VLOOKUP(A37,'[1]학생 데이터 입력'!$A$2:$J$198,10,FALSE)=0,"",VLOOKUP(A37,'[1]학생 데이터 입력'!$A$2:$J$198,10,FALSE)),"")</f>
        <v/>
      </c>
    </row>
    <row r="38" spans="2:8" ht="20.25" customHeight="1" thickBot="1">
      <c r="B38" s="8"/>
      <c r="C38" s="9" t="str">
        <f>IFERROR(VLOOKUP(A38,'[1]학생 데이터 입력'!$A$2:$J$198,3,FALSE),"")</f>
        <v/>
      </c>
      <c r="D38" s="10" t="str">
        <f>IFERROR(VLOOKUP(A38,'[1]학생 데이터 입력'!$A$2:$K$198,11,FALSE),"")</f>
        <v/>
      </c>
      <c r="E38" s="9" t="str">
        <f>IFERROR(VLOOKUP(A38,'[1]학생 데이터 입력'!$A$2:$J$198,8,FALSE),"")</f>
        <v/>
      </c>
      <c r="F38" s="9" t="str">
        <f>IFERROR(VLOOKUP(A38,'[1]학생 데이터 입력'!$A$2:$J$198,6,FALSE),"")</f>
        <v/>
      </c>
      <c r="G38" s="9" t="str">
        <f>IFERROR(VLOOKUP(A38,'[1]학생 데이터 입력'!$A$2:$J$198,7,FALSE),"")</f>
        <v/>
      </c>
      <c r="H38" s="11" t="str">
        <f>IFERROR(IF(VLOOKUP(A38,'[1]학생 데이터 입력'!$A$2:$J$198,10,FALSE)=0,"",VLOOKUP(A38,'[1]학생 데이터 입력'!$A$2:$J$198,10,FALSE)),"")</f>
        <v/>
      </c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 t="str">
        <f>IFERROR(VLOOKUP(A47,'[1]학생 데이터 입력'!$A$2:$J$198,3,FALSE),"")</f>
        <v/>
      </c>
      <c r="D47" s="6" t="str">
        <f>IFERROR(VLOOKUP(A47,'[1]학생 데이터 입력'!$A$2:$K$198,11,FALSE),"")</f>
        <v/>
      </c>
      <c r="E47" s="5" t="str">
        <f>IFERROR(VLOOKUP(A47,'[1]학생 데이터 입력'!$A$2:$J$198,8,FALSE),"")</f>
        <v/>
      </c>
      <c r="F47" s="5" t="str">
        <f>IFERROR(VLOOKUP(A47,'[1]학생 데이터 입력'!$A$2:$J$198,6,FALSE),"")</f>
        <v/>
      </c>
      <c r="G47" s="5" t="str">
        <f>IFERROR(VLOOKUP(A47,'[1]학생 데이터 입력'!$A$2:$J$198,7,FALSE),"")</f>
        <v/>
      </c>
      <c r="H47" s="7" t="str">
        <f>IFERROR(IF(VLOOKUP(A47,'[1]학생 데이터 입력'!$A$2:$J$198,10,FALSE)=0,"",VLOOKUP(A47,'[1]학생 데이터 입력'!$A$2:$J$198,10,FALSE)),"")</f>
        <v/>
      </c>
    </row>
    <row r="48" spans="2:8" ht="19.5" customHeight="1">
      <c r="B48" s="4">
        <v>2</v>
      </c>
      <c r="C48" s="5" t="str">
        <f>IFERROR(VLOOKUP(A48,'[1]학생 데이터 입력'!$A$2:$J$198,3,FALSE),"")</f>
        <v/>
      </c>
      <c r="D48" s="6" t="str">
        <f>IFERROR(VLOOKUP(A48,'[1]학생 데이터 입력'!$A$2:$K$198,11,FALSE),"")</f>
        <v/>
      </c>
      <c r="E48" s="5" t="str">
        <f>IFERROR(VLOOKUP(A48,'[1]학생 데이터 입력'!$A$2:$J$198,8,FALSE),"")</f>
        <v/>
      </c>
      <c r="F48" s="5" t="str">
        <f>IFERROR(VLOOKUP(A48,'[1]학생 데이터 입력'!$A$2:$J$198,6,FALSE),"")</f>
        <v/>
      </c>
      <c r="G48" s="5" t="str">
        <f>IFERROR(VLOOKUP(A48,'[1]학생 데이터 입력'!$A$2:$J$198,7,FALSE),"")</f>
        <v/>
      </c>
      <c r="H48" s="7" t="str">
        <f>IFERROR(IF(VLOOKUP(A48,'[1]학생 데이터 입력'!$A$2:$J$198,10,FALSE)=0,"",VLOOKUP(A48,'[1]학생 데이터 입력'!$A$2:$J$198,10,FALSE)),"")</f>
        <v/>
      </c>
    </row>
    <row r="49" spans="2:8" ht="19.5" customHeight="1">
      <c r="B49" s="4">
        <v>3</v>
      </c>
      <c r="C49" s="5" t="str">
        <f>IFERROR(VLOOKUP(A49,'[1]학생 데이터 입력'!$A$2:$J$198,3,FALSE),"")</f>
        <v/>
      </c>
      <c r="D49" s="6" t="str">
        <f>IFERROR(VLOOKUP(A49,'[1]학생 데이터 입력'!$A$2:$K$198,11,FALSE),"")</f>
        <v/>
      </c>
      <c r="E49" s="5" t="str">
        <f>IFERROR(VLOOKUP(A49,'[1]학생 데이터 입력'!$A$2:$J$198,8,FALSE),"")</f>
        <v/>
      </c>
      <c r="F49" s="5" t="str">
        <f>IFERROR(VLOOKUP(A49,'[1]학생 데이터 입력'!$A$2:$J$198,6,FALSE),"")</f>
        <v/>
      </c>
      <c r="G49" s="5" t="str">
        <f>IFERROR(VLOOKUP(A49,'[1]학생 데이터 입력'!$A$2:$J$198,7,FALSE),"")</f>
        <v/>
      </c>
      <c r="H49" s="7" t="str">
        <f>IFERROR(IF(VLOOKUP(A49,'[1]학생 데이터 입력'!$A$2:$J$198,10,FALSE)=0,"",VLOOKUP(A49,'[1]학생 데이터 입력'!$A$2:$J$198,10,FALSE)),"")</f>
        <v/>
      </c>
    </row>
    <row r="50" spans="2:8" ht="19.5" customHeight="1">
      <c r="B50" s="4">
        <v>4</v>
      </c>
      <c r="C50" s="5" t="str">
        <f>IFERROR(VLOOKUP(A50,'[1]학생 데이터 입력'!$A$2:$J$198,3,FALSE),"")</f>
        <v/>
      </c>
      <c r="D50" s="6" t="str">
        <f>IFERROR(VLOOKUP(A50,'[1]학생 데이터 입력'!$A$2:$K$198,11,FALSE),"")</f>
        <v/>
      </c>
      <c r="E50" s="5" t="str">
        <f>IFERROR(VLOOKUP(A50,'[1]학생 데이터 입력'!$A$2:$J$198,8,FALSE),"")</f>
        <v/>
      </c>
      <c r="F50" s="5" t="str">
        <f>IFERROR(VLOOKUP(A50,'[1]학생 데이터 입력'!$A$2:$J$198,6,FALSE),"")</f>
        <v/>
      </c>
      <c r="G50" s="5" t="str">
        <f>IFERROR(VLOOKUP(A50,'[1]학생 데이터 입력'!$A$2:$J$198,7,FALSE),"")</f>
        <v/>
      </c>
      <c r="H50" s="7" t="str">
        <f>IFERROR(IF(VLOOKUP(A50,'[1]학생 데이터 입력'!$A$2:$J$198,10,FALSE)=0,"",VLOOKUP(A50,'[1]학생 데이터 입력'!$A$2:$J$198,10,FALSE)),"")</f>
        <v/>
      </c>
    </row>
    <row r="51" spans="2:8" ht="19.5" customHeight="1">
      <c r="B51" s="4">
        <v>5</v>
      </c>
      <c r="C51" s="5" t="str">
        <f>IFERROR(VLOOKUP(A51,'[1]학생 데이터 입력'!$A$2:$J$198,3,FALSE),"")</f>
        <v/>
      </c>
      <c r="D51" s="6" t="str">
        <f>IFERROR(VLOOKUP(A51,'[1]학생 데이터 입력'!$A$2:$K$198,11,FALSE),"")</f>
        <v/>
      </c>
      <c r="E51" s="5" t="str">
        <f>IFERROR(VLOOKUP(A51,'[1]학생 데이터 입력'!$A$2:$J$198,8,FALSE),"")</f>
        <v/>
      </c>
      <c r="F51" s="5" t="str">
        <f>IFERROR(VLOOKUP(A51,'[1]학생 데이터 입력'!$A$2:$J$198,6,FALSE),"")</f>
        <v/>
      </c>
      <c r="G51" s="5" t="str">
        <f>IFERROR(VLOOKUP(A51,'[1]학생 데이터 입력'!$A$2:$J$198,7,FALSE),"")</f>
        <v/>
      </c>
      <c r="H51" s="7" t="str">
        <f>IFERROR(IF(VLOOKUP(A51,'[1]학생 데이터 입력'!$A$2:$J$198,10,FALSE)=0,"",VLOOKUP(A51,'[1]학생 데이터 입력'!$A$2:$J$198,10,FALSE)),"")</f>
        <v/>
      </c>
    </row>
    <row r="52" spans="2:8" ht="20.25" customHeight="1" thickBot="1">
      <c r="B52" s="8"/>
      <c r="C52" s="9" t="str">
        <f>IFERROR(VLOOKUP(A52,'[1]학생 데이터 입력'!$A$2:$J$198,3,FALSE),"")</f>
        <v/>
      </c>
      <c r="D52" s="10" t="str">
        <f>IFERROR(VLOOKUP(A52,'[1]학생 데이터 입력'!$A$2:$K$198,11,FALSE),"")</f>
        <v/>
      </c>
      <c r="E52" s="9" t="str">
        <f>IFERROR(VLOOKUP(A52,'[1]학생 데이터 입력'!$A$2:$J$198,8,FALSE),"")</f>
        <v/>
      </c>
      <c r="F52" s="9" t="str">
        <f>IFERROR(VLOOKUP(A52,'[1]학생 데이터 입력'!$A$2:$J$198,6,FALSE),"")</f>
        <v/>
      </c>
      <c r="G52" s="9" t="str">
        <f>IFERROR(VLOOKUP(A52,'[1]학생 데이터 입력'!$A$2:$J$198,7,FALSE),"")</f>
        <v/>
      </c>
      <c r="H52" s="11" t="str">
        <f>IFERROR(IF(VLOOKUP(A52,'[1]학생 데이터 입력'!$A$2:$J$198,10,FALSE)=0,"",VLOOKUP(A52,'[1]학생 데이터 입력'!$A$2:$J$198,10,FALSE)),"")</f>
        <v/>
      </c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CF30-9941-4792-B47F-E5B40E2E22CF}">
  <sheetPr codeName="Sheet11"/>
  <dimension ref="A2:K54"/>
  <sheetViews>
    <sheetView zoomScale="145" zoomScaleNormal="145" workbookViewId="0">
      <selection activeCell="C14" sqref="C14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/>
      <c r="D5" s="6"/>
      <c r="E5" s="5"/>
      <c r="F5" s="5"/>
      <c r="G5" s="5"/>
      <c r="H5" s="7"/>
    </row>
    <row r="6" spans="2:8" ht="19.5" customHeight="1">
      <c r="B6" s="4">
        <v>2</v>
      </c>
      <c r="C6" s="5"/>
      <c r="D6" s="6"/>
      <c r="E6" s="5"/>
      <c r="F6" s="5"/>
      <c r="G6" s="5"/>
      <c r="H6" s="7"/>
    </row>
    <row r="7" spans="2:8" ht="19.5" customHeight="1">
      <c r="B7" s="4">
        <v>3</v>
      </c>
      <c r="C7" s="5"/>
      <c r="D7" s="6"/>
      <c r="E7" s="5"/>
      <c r="F7" s="5"/>
      <c r="G7" s="5"/>
      <c r="H7" s="7"/>
    </row>
    <row r="8" spans="2:8" ht="19.5" customHeight="1">
      <c r="B8" s="4">
        <v>4</v>
      </c>
      <c r="C8" s="5"/>
      <c r="D8" s="6"/>
      <c r="E8" s="5"/>
      <c r="F8" s="5"/>
      <c r="G8" s="5"/>
      <c r="H8" s="7"/>
    </row>
    <row r="9" spans="2:8" ht="19.5" customHeight="1">
      <c r="B9" s="4"/>
      <c r="C9" s="5"/>
      <c r="D9" s="6"/>
      <c r="E9" s="5"/>
      <c r="F9" s="5"/>
      <c r="G9" s="5"/>
      <c r="H9" s="7"/>
    </row>
    <row r="10" spans="2:8" ht="20.25" customHeight="1" thickBot="1">
      <c r="B10" s="8"/>
      <c r="C10" s="9"/>
      <c r="D10" s="10"/>
      <c r="E10" s="9"/>
      <c r="F10" s="9"/>
      <c r="G10" s="9"/>
      <c r="H10" s="11"/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/>
      <c r="D19" s="6"/>
      <c r="E19" s="5"/>
      <c r="F19" s="5"/>
      <c r="G19" s="5"/>
      <c r="H19" s="7"/>
    </row>
    <row r="20" spans="1:11" ht="19.5" customHeight="1">
      <c r="B20" s="4">
        <v>2</v>
      </c>
      <c r="C20" s="5"/>
      <c r="D20" s="6"/>
      <c r="E20" s="5"/>
      <c r="F20" s="5"/>
      <c r="G20" s="5"/>
      <c r="H20" s="7"/>
    </row>
    <row r="21" spans="1:11" ht="19.5" customHeight="1">
      <c r="B21" s="4">
        <v>3</v>
      </c>
      <c r="C21" s="5"/>
      <c r="D21" s="6"/>
      <c r="E21" s="5"/>
      <c r="F21" s="5"/>
      <c r="G21" s="5"/>
      <c r="H21" s="7"/>
    </row>
    <row r="22" spans="1:11" ht="19.5" customHeight="1">
      <c r="B22" s="4">
        <v>4</v>
      </c>
      <c r="C22" s="5"/>
      <c r="D22" s="6"/>
      <c r="E22" s="5"/>
      <c r="F22" s="5"/>
      <c r="G22" s="5"/>
      <c r="H22" s="7"/>
    </row>
    <row r="23" spans="1:11" ht="19.5" customHeight="1">
      <c r="B23" s="4">
        <v>5</v>
      </c>
      <c r="C23" s="5"/>
      <c r="D23" s="6"/>
      <c r="E23" s="5"/>
      <c r="F23" s="5"/>
      <c r="G23" s="5"/>
      <c r="H23" s="7"/>
    </row>
    <row r="24" spans="1:11" s="13" customFormat="1" ht="20.25" customHeight="1" thickBot="1">
      <c r="A24"/>
      <c r="B24" s="8"/>
      <c r="C24" s="9"/>
      <c r="D24" s="10"/>
      <c r="E24" s="9"/>
      <c r="F24" s="9"/>
      <c r="G24" s="9"/>
      <c r="H24" s="11"/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/>
      <c r="D33" s="6"/>
      <c r="E33" s="5"/>
      <c r="F33" s="5"/>
      <c r="G33" s="5"/>
      <c r="H33" s="7"/>
    </row>
    <row r="34" spans="2:8" ht="19.5" customHeight="1">
      <c r="B34" s="4">
        <v>2</v>
      </c>
      <c r="C34" s="5"/>
      <c r="D34" s="6"/>
      <c r="E34" s="5"/>
      <c r="F34" s="5"/>
      <c r="G34" s="5"/>
      <c r="H34" s="7"/>
    </row>
    <row r="35" spans="2:8" ht="19.5" customHeight="1">
      <c r="B35" s="4">
        <v>3</v>
      </c>
      <c r="C35" s="5"/>
      <c r="D35" s="6"/>
      <c r="E35" s="5"/>
      <c r="F35" s="5"/>
      <c r="G35" s="5"/>
      <c r="H35" s="7"/>
    </row>
    <row r="36" spans="2:8" ht="19.5" customHeight="1">
      <c r="B36" s="4">
        <v>4</v>
      </c>
      <c r="C36" s="5"/>
      <c r="D36" s="6"/>
      <c r="E36" s="5"/>
      <c r="F36" s="5"/>
      <c r="G36" s="5"/>
      <c r="H36" s="7"/>
    </row>
    <row r="37" spans="2:8" ht="19.5" customHeight="1">
      <c r="B37" s="4">
        <v>5</v>
      </c>
      <c r="C37" s="5"/>
      <c r="D37" s="6"/>
      <c r="E37" s="5"/>
      <c r="F37" s="5"/>
      <c r="G37" s="5"/>
      <c r="H37" s="7"/>
    </row>
    <row r="38" spans="2:8" ht="20.25" customHeight="1" thickBot="1">
      <c r="B38" s="4">
        <v>6</v>
      </c>
      <c r="C38" s="9"/>
      <c r="D38" s="10"/>
      <c r="E38" s="9"/>
      <c r="F38" s="9"/>
      <c r="G38" s="9"/>
      <c r="H38" s="11"/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/>
      <c r="D47" s="6"/>
      <c r="E47" s="5"/>
      <c r="F47" s="5"/>
      <c r="G47" s="5"/>
      <c r="H47" s="7"/>
    </row>
    <row r="48" spans="2:8" ht="19.5" customHeight="1">
      <c r="B48" s="4">
        <v>2</v>
      </c>
      <c r="C48" s="5"/>
      <c r="D48" s="6"/>
      <c r="E48" s="5"/>
      <c r="F48" s="5"/>
      <c r="G48" s="5"/>
      <c r="H48" s="7"/>
    </row>
    <row r="49" spans="2:8" ht="19.5" customHeight="1">
      <c r="B49" s="4">
        <v>3</v>
      </c>
      <c r="C49" s="5"/>
      <c r="D49" s="6"/>
      <c r="E49" s="5"/>
      <c r="F49" s="5"/>
      <c r="G49" s="5"/>
      <c r="H49" s="7"/>
    </row>
    <row r="50" spans="2:8" ht="19.5" customHeight="1">
      <c r="B50" s="4">
        <v>4</v>
      </c>
      <c r="C50" s="5"/>
      <c r="D50" s="6"/>
      <c r="E50" s="5"/>
      <c r="F50" s="5"/>
      <c r="G50" s="5"/>
      <c r="H50" s="7"/>
    </row>
    <row r="51" spans="2:8" ht="19.5">
      <c r="B51" s="4">
        <v>5</v>
      </c>
      <c r="C51" s="5"/>
      <c r="D51" s="6"/>
      <c r="E51" s="5"/>
      <c r="F51" s="5"/>
      <c r="G51" s="5"/>
      <c r="H51" s="7"/>
    </row>
    <row r="52" spans="2:8" ht="20.25" customHeight="1" thickBot="1">
      <c r="B52" s="8"/>
      <c r="C52" s="9"/>
      <c r="D52" s="10"/>
      <c r="E52" s="9"/>
      <c r="F52" s="9"/>
      <c r="G52" s="9"/>
      <c r="H52" s="11"/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E996-7BC0-4052-A714-C9447C98B9D9}">
  <sheetPr codeName="Sheet12"/>
  <dimension ref="A2:K54"/>
  <sheetViews>
    <sheetView topLeftCell="A58" zoomScale="145" zoomScaleNormal="145" workbookViewId="0">
      <selection activeCell="F13" sqref="F13"/>
    </sheetView>
  </sheetViews>
  <sheetFormatPr defaultRowHeight="16.5"/>
  <cols>
    <col min="3" max="3" width="11.625" style="1" customWidth="1"/>
    <col min="8" max="8" width="10.25" style="1" bestFit="1" customWidth="1"/>
  </cols>
  <sheetData>
    <row r="2" spans="2:8" ht="36.75" customHeight="1" thickBot="1">
      <c r="B2" s="86" t="str">
        <f>"2025학년도 (     )학년 (     )반  "&amp;M1&amp;"학생 A"</f>
        <v>2025학년도 (     )학년 (     )반  학생 A</v>
      </c>
      <c r="C2" s="84"/>
      <c r="D2" s="85"/>
      <c r="E2" s="85"/>
      <c r="F2" s="85"/>
      <c r="G2" s="85"/>
      <c r="H2" s="84"/>
    </row>
    <row r="3" spans="2:8">
      <c r="B3" s="87" t="s">
        <v>1</v>
      </c>
      <c r="C3" s="89" t="s">
        <v>2</v>
      </c>
      <c r="D3" s="89" t="s">
        <v>3</v>
      </c>
      <c r="E3" s="2" t="s">
        <v>4</v>
      </c>
      <c r="F3" s="2" t="s">
        <v>5</v>
      </c>
      <c r="G3" s="89" t="s">
        <v>6</v>
      </c>
      <c r="H3" s="91" t="s">
        <v>7</v>
      </c>
    </row>
    <row r="4" spans="2:8">
      <c r="B4" s="88"/>
      <c r="C4" s="90"/>
      <c r="D4" s="90"/>
      <c r="E4" s="3" t="s">
        <v>8</v>
      </c>
      <c r="F4" s="3" t="s">
        <v>9</v>
      </c>
      <c r="G4" s="90"/>
      <c r="H4" s="92"/>
    </row>
    <row r="5" spans="2:8" ht="19.5" customHeight="1">
      <c r="B5" s="4">
        <v>1</v>
      </c>
      <c r="C5" s="5" t="str">
        <f>IFERROR(VLOOKUP(A5,'[1]학생 데이터 입력'!$A$2:$J$198,3,FALSE),"")</f>
        <v/>
      </c>
      <c r="D5" s="6" t="str">
        <f>IFERROR(VLOOKUP(A5,'[1]학생 데이터 입력'!$A$2:$K$198,11,FALSE),"")</f>
        <v/>
      </c>
      <c r="E5" s="5" t="str">
        <f>IFERROR(VLOOKUP(A5,'[1]학생 데이터 입력'!$A$2:$J$198,8,FALSE),"")</f>
        <v/>
      </c>
      <c r="F5" s="5" t="str">
        <f>IFERROR(VLOOKUP(A5,'[1]학생 데이터 입력'!$A$2:$J$198,6,FALSE),"")</f>
        <v/>
      </c>
      <c r="G5" s="5" t="str">
        <f>IFERROR(VLOOKUP(A5,'[1]학생 데이터 입력'!$A$2:$J$198,7,FALSE),"")</f>
        <v/>
      </c>
      <c r="H5" s="7" t="str">
        <f>IFERROR(IF(VLOOKUP(A5,'[1]학생 데이터 입력'!$A$2:$J$198,10,FALSE)=0,"",VLOOKUP(A5,'[1]학생 데이터 입력'!$A$2:$J$198,10,FALSE)),"")</f>
        <v/>
      </c>
    </row>
    <row r="6" spans="2:8" ht="19.5" customHeight="1">
      <c r="B6" s="4">
        <v>2</v>
      </c>
      <c r="C6" s="5" t="str">
        <f>IFERROR(VLOOKUP(A6,'[1]학생 데이터 입력'!$A$2:$J$198,3,FALSE),"")</f>
        <v/>
      </c>
      <c r="D6" s="6" t="str">
        <f>IFERROR(VLOOKUP(A6,'[1]학생 데이터 입력'!$A$2:$K$198,11,FALSE),"")</f>
        <v/>
      </c>
      <c r="E6" s="5" t="str">
        <f>IFERROR(VLOOKUP(A6,'[1]학생 데이터 입력'!$A$2:$J$198,8,FALSE),"")</f>
        <v/>
      </c>
      <c r="F6" s="5" t="str">
        <f>IFERROR(VLOOKUP(A6,'[1]학생 데이터 입력'!$A$2:$J$198,6,FALSE),"")</f>
        <v/>
      </c>
      <c r="G6" s="5" t="str">
        <f>IFERROR(VLOOKUP(A6,'[1]학생 데이터 입력'!$A$2:$J$198,7,FALSE),"")</f>
        <v/>
      </c>
      <c r="H6" s="7" t="str">
        <f>IFERROR(IF(VLOOKUP(A6,'[1]학생 데이터 입력'!$A$2:$J$198,10,FALSE)=0,"",VLOOKUP(A6,'[1]학생 데이터 입력'!$A$2:$J$198,10,FALSE)),"")</f>
        <v/>
      </c>
    </row>
    <row r="7" spans="2:8" ht="19.5" customHeight="1">
      <c r="B7" s="4">
        <v>3</v>
      </c>
      <c r="C7" s="5" t="str">
        <f>IFERROR(VLOOKUP(A7,'[1]학생 데이터 입력'!$A$2:$J$198,3,FALSE),"")</f>
        <v/>
      </c>
      <c r="D7" s="6" t="str">
        <f>IFERROR(VLOOKUP(A7,'[1]학생 데이터 입력'!$A$2:$K$198,11,FALSE),"")</f>
        <v/>
      </c>
      <c r="E7" s="5" t="str">
        <f>IFERROR(VLOOKUP(A7,'[1]학생 데이터 입력'!$A$2:$J$198,8,FALSE),"")</f>
        <v/>
      </c>
      <c r="F7" s="5" t="str">
        <f>IFERROR(VLOOKUP(A7,'[1]학생 데이터 입력'!$A$2:$J$198,6,FALSE),"")</f>
        <v/>
      </c>
      <c r="G7" s="5" t="str">
        <f>IFERROR(VLOOKUP(A7,'[1]학생 데이터 입력'!$A$2:$J$198,7,FALSE),"")</f>
        <v/>
      </c>
      <c r="H7" s="7" t="str">
        <f>IFERROR(IF(VLOOKUP(A7,'[1]학생 데이터 입력'!$A$2:$J$198,10,FALSE)=0,"",VLOOKUP(A7,'[1]학생 데이터 입력'!$A$2:$J$198,10,FALSE)),"")</f>
        <v/>
      </c>
    </row>
    <row r="8" spans="2:8" ht="19.5" customHeight="1">
      <c r="B8" s="4">
        <v>4</v>
      </c>
      <c r="C8" s="5" t="str">
        <f>IFERROR(VLOOKUP(A8,'[1]학생 데이터 입력'!$A$2:$J$198,3,FALSE),"")</f>
        <v/>
      </c>
      <c r="D8" s="6" t="str">
        <f>IFERROR(VLOOKUP(A8,'[1]학생 데이터 입력'!$A$2:$K$198,11,FALSE),"")</f>
        <v/>
      </c>
      <c r="E8" s="5" t="str">
        <f>IFERROR(VLOOKUP(A8,'[1]학생 데이터 입력'!$A$2:$J$198,8,FALSE),"")</f>
        <v/>
      </c>
      <c r="F8" s="5" t="str">
        <f>IFERROR(VLOOKUP(A8,'[1]학생 데이터 입력'!$A$2:$J$198,6,FALSE),"")</f>
        <v/>
      </c>
      <c r="G8" s="5" t="str">
        <f>IFERROR(VLOOKUP(A8,'[1]학생 데이터 입력'!$A$2:$J$198,7,FALSE),"")</f>
        <v/>
      </c>
      <c r="H8" s="7" t="str">
        <f>IFERROR(IF(VLOOKUP(A8,'[1]학생 데이터 입력'!$A$2:$J$198,10,FALSE)=0,"",VLOOKUP(A8,'[1]학생 데이터 입력'!$A$2:$J$198,10,FALSE)),"")</f>
        <v/>
      </c>
    </row>
    <row r="9" spans="2:8" ht="19.5" customHeight="1">
      <c r="B9" s="4"/>
      <c r="C9" s="5" t="str">
        <f>IFERROR(VLOOKUP(A9,'[1]학생 데이터 입력'!$A$2:$J$198,3,FALSE),"")</f>
        <v/>
      </c>
      <c r="D9" s="6" t="str">
        <f>IFERROR(VLOOKUP(A9,'[1]학생 데이터 입력'!$A$2:$K$198,11,FALSE),"")</f>
        <v/>
      </c>
      <c r="E9" s="5" t="str">
        <f>IFERROR(VLOOKUP(A9,'[1]학생 데이터 입력'!$A$2:$J$198,8,FALSE),"")</f>
        <v/>
      </c>
      <c r="F9" s="5" t="str">
        <f>IFERROR(VLOOKUP(A9,'[1]학생 데이터 입력'!$A$2:$J$198,6,FALSE),"")</f>
        <v/>
      </c>
      <c r="G9" s="5" t="str">
        <f>IFERROR(VLOOKUP(A9,'[1]학생 데이터 입력'!$A$2:$J$198,7,FALSE),"")</f>
        <v/>
      </c>
      <c r="H9" s="7" t="str">
        <f>IFERROR(IF(VLOOKUP(A9,'[1]학생 데이터 입력'!$A$2:$J$198,10,FALSE)=0,"",VLOOKUP(A9,'[1]학생 데이터 입력'!$A$2:$J$198,10,FALSE)),"")</f>
        <v/>
      </c>
    </row>
    <row r="10" spans="2:8" ht="20.25" customHeight="1" thickBot="1">
      <c r="B10" s="8"/>
      <c r="C10" s="9" t="str">
        <f>IFERROR(VLOOKUP(A10,'[1]학생 데이터 입력'!$A$2:$J$198,3,FALSE),"")</f>
        <v/>
      </c>
      <c r="D10" s="10" t="str">
        <f>IFERROR(VLOOKUP(A10,'[1]학생 데이터 입력'!$A$2:$K$198,11,FALSE),"")</f>
        <v/>
      </c>
      <c r="E10" s="9" t="str">
        <f>IFERROR(VLOOKUP(A10,'[1]학생 데이터 입력'!$A$2:$J$198,8,FALSE),"")</f>
        <v/>
      </c>
      <c r="F10" s="9" t="str">
        <f>IFERROR(VLOOKUP(A10,'[1]학생 데이터 입력'!$A$2:$J$198,6,FALSE),"")</f>
        <v/>
      </c>
      <c r="G10" s="9" t="str">
        <f>IFERROR(VLOOKUP(A10,'[1]학생 데이터 입력'!$A$2:$J$198,7,FALSE),"")</f>
        <v/>
      </c>
      <c r="H10" s="11" t="str">
        <f>IFERROR(IF(VLOOKUP(A10,'[1]학생 데이터 입력'!$A$2:$J$198,10,FALSE)=0,"",VLOOKUP(A10,'[1]학생 데이터 입력'!$A$2:$J$198,10,FALSE)),"")</f>
        <v/>
      </c>
    </row>
    <row r="11" spans="2:8" ht="19.5" customHeight="1">
      <c r="C11" s="12"/>
    </row>
    <row r="12" spans="2:8" ht="47.25" customHeight="1">
      <c r="B12" s="83" t="s">
        <v>10</v>
      </c>
      <c r="C12" s="84"/>
      <c r="D12" s="85"/>
      <c r="E12" s="85"/>
      <c r="F12" s="85"/>
      <c r="G12" s="85"/>
      <c r="H12" s="84"/>
    </row>
    <row r="16" spans="2:8" ht="36.950000000000003" customHeight="1" thickBot="1">
      <c r="B16" s="86" t="str">
        <f>"2025학년도 (     )학년 (     )반  "&amp;M1&amp;"학생 B"</f>
        <v>2025학년도 (     )학년 (     )반  학생 B</v>
      </c>
      <c r="C16" s="84"/>
      <c r="D16" s="85"/>
      <c r="E16" s="85"/>
      <c r="F16" s="85"/>
      <c r="G16" s="85"/>
      <c r="H16" s="84"/>
    </row>
    <row r="17" spans="1:11">
      <c r="B17" s="87" t="s">
        <v>1</v>
      </c>
      <c r="C17" s="89" t="s">
        <v>2</v>
      </c>
      <c r="D17" s="89" t="s">
        <v>3</v>
      </c>
      <c r="E17" s="2" t="s">
        <v>4</v>
      </c>
      <c r="F17" s="2" t="s">
        <v>5</v>
      </c>
      <c r="G17" s="89" t="s">
        <v>6</v>
      </c>
      <c r="H17" s="91" t="s">
        <v>7</v>
      </c>
    </row>
    <row r="18" spans="1:11">
      <c r="B18" s="88"/>
      <c r="C18" s="90"/>
      <c r="D18" s="90"/>
      <c r="E18" s="3" t="s">
        <v>8</v>
      </c>
      <c r="F18" s="3" t="s">
        <v>9</v>
      </c>
      <c r="G18" s="90"/>
      <c r="H18" s="92"/>
    </row>
    <row r="19" spans="1:11" ht="19.5" customHeight="1">
      <c r="B19" s="4">
        <v>1</v>
      </c>
      <c r="C19" s="5" t="str">
        <f>IFERROR(VLOOKUP(A19,'[1]학생 데이터 입력'!$A$2:$J$198,3,FALSE),"")</f>
        <v/>
      </c>
      <c r="D19" s="6" t="str">
        <f>IFERROR(VLOOKUP(A19,'[1]학생 데이터 입력'!$A$2:$K$198,11,FALSE),"")</f>
        <v/>
      </c>
      <c r="E19" s="5" t="str">
        <f>IFERROR(VLOOKUP(A19,'[1]학생 데이터 입력'!$A$2:$J$198,8,FALSE),"")</f>
        <v/>
      </c>
      <c r="F19" s="5" t="str">
        <f>IFERROR(VLOOKUP(A19,'[1]학생 데이터 입력'!$A$2:$J$198,6,FALSE),"")</f>
        <v/>
      </c>
      <c r="G19" s="5" t="str">
        <f>IFERROR(VLOOKUP(A19,'[1]학생 데이터 입력'!$A$2:$J$198,7,FALSE),"")</f>
        <v/>
      </c>
      <c r="H19" s="7" t="str">
        <f>IFERROR(IF(VLOOKUP(A19,'[1]학생 데이터 입력'!$A$2:$J$198,10,FALSE)=0,"",VLOOKUP(A19,'[1]학생 데이터 입력'!$A$2:$J$198,10,FALSE)),"")</f>
        <v/>
      </c>
    </row>
    <row r="20" spans="1:11" ht="19.5" customHeight="1">
      <c r="B20" s="4">
        <v>2</v>
      </c>
      <c r="C20" s="5" t="str">
        <f>IFERROR(VLOOKUP(A20,'[1]학생 데이터 입력'!$A$2:$J$198,3,FALSE),"")</f>
        <v/>
      </c>
      <c r="D20" s="6" t="str">
        <f>IFERROR(VLOOKUP(A20,'[1]학생 데이터 입력'!$A$2:$K$198,11,FALSE),"")</f>
        <v/>
      </c>
      <c r="E20" s="5" t="str">
        <f>IFERROR(VLOOKUP(A20,'[1]학생 데이터 입력'!$A$2:$J$198,8,FALSE),"")</f>
        <v/>
      </c>
      <c r="F20" s="5" t="str">
        <f>IFERROR(VLOOKUP(A20,'[1]학생 데이터 입력'!$A$2:$J$198,6,FALSE),"")</f>
        <v/>
      </c>
      <c r="G20" s="5" t="str">
        <f>IFERROR(VLOOKUP(A20,'[1]학생 데이터 입력'!$A$2:$J$198,7,FALSE),"")</f>
        <v/>
      </c>
      <c r="H20" s="7" t="str">
        <f>IFERROR(IF(VLOOKUP(A20,'[1]학생 데이터 입력'!$A$2:$J$198,10,FALSE)=0,"",VLOOKUP(A20,'[1]학생 데이터 입력'!$A$2:$J$198,10,FALSE)),"")</f>
        <v/>
      </c>
    </row>
    <row r="21" spans="1:11" ht="19.5" customHeight="1">
      <c r="B21" s="4">
        <v>3</v>
      </c>
      <c r="C21" s="5" t="str">
        <f>IFERROR(VLOOKUP(A21,'[1]학생 데이터 입력'!$A$2:$J$198,3,FALSE),"")</f>
        <v/>
      </c>
      <c r="D21" s="6" t="str">
        <f>IFERROR(VLOOKUP(A21,'[1]학생 데이터 입력'!$A$2:$K$198,11,FALSE),"")</f>
        <v/>
      </c>
      <c r="E21" s="5" t="str">
        <f>IFERROR(VLOOKUP(A21,'[1]학생 데이터 입력'!$A$2:$J$198,8,FALSE),"")</f>
        <v/>
      </c>
      <c r="F21" s="5" t="str">
        <f>IFERROR(VLOOKUP(A21,'[1]학생 데이터 입력'!$A$2:$J$198,6,FALSE),"")</f>
        <v/>
      </c>
      <c r="G21" s="5" t="str">
        <f>IFERROR(VLOOKUP(A21,'[1]학생 데이터 입력'!$A$2:$J$198,7,FALSE),"")</f>
        <v/>
      </c>
      <c r="H21" s="7" t="str">
        <f>IFERROR(IF(VLOOKUP(A21,'[1]학생 데이터 입력'!$A$2:$J$198,10,FALSE)=0,"",VLOOKUP(A21,'[1]학생 데이터 입력'!$A$2:$J$198,10,FALSE)),"")</f>
        <v/>
      </c>
    </row>
    <row r="22" spans="1:11" ht="19.5" customHeight="1">
      <c r="B22" s="4">
        <v>4</v>
      </c>
      <c r="C22" s="5" t="str">
        <f>IFERROR(VLOOKUP(A22,'[1]학생 데이터 입력'!$A$2:$J$198,3,FALSE),"")</f>
        <v/>
      </c>
      <c r="D22" s="6" t="str">
        <f>IFERROR(VLOOKUP(A22,'[1]학생 데이터 입력'!$A$2:$K$198,11,FALSE),"")</f>
        <v/>
      </c>
      <c r="E22" s="5" t="str">
        <f>IFERROR(VLOOKUP(A22,'[1]학생 데이터 입력'!$A$2:$J$198,8,FALSE),"")</f>
        <v/>
      </c>
      <c r="F22" s="5" t="str">
        <f>IFERROR(VLOOKUP(A22,'[1]학생 데이터 입력'!$A$2:$J$198,6,FALSE),"")</f>
        <v/>
      </c>
      <c r="G22" s="5" t="str">
        <f>IFERROR(VLOOKUP(A22,'[1]학생 데이터 입력'!$A$2:$J$198,7,FALSE),"")</f>
        <v/>
      </c>
      <c r="H22" s="7" t="str">
        <f>IFERROR(IF(VLOOKUP(A22,'[1]학생 데이터 입력'!$A$2:$J$198,10,FALSE)=0,"",VLOOKUP(A22,'[1]학생 데이터 입력'!$A$2:$J$198,10,FALSE)),"")</f>
        <v/>
      </c>
    </row>
    <row r="23" spans="1:11" ht="19.5" customHeight="1">
      <c r="B23" s="4">
        <v>5</v>
      </c>
      <c r="C23" s="5" t="str">
        <f>IFERROR(VLOOKUP(A23,'[1]학생 데이터 입력'!$A$2:$J$198,3,FALSE),"")</f>
        <v/>
      </c>
      <c r="D23" s="6" t="str">
        <f>IFERROR(VLOOKUP(A23,'[1]학생 데이터 입력'!$A$2:$K$198,11,FALSE),"")</f>
        <v/>
      </c>
      <c r="E23" s="5" t="str">
        <f>IFERROR(VLOOKUP(A23,'[1]학생 데이터 입력'!$A$2:$J$198,8,FALSE),"")</f>
        <v/>
      </c>
      <c r="F23" s="5" t="str">
        <f>IFERROR(VLOOKUP(A23,'[1]학생 데이터 입력'!$A$2:$J$198,6,FALSE),"")</f>
        <v/>
      </c>
      <c r="G23" s="5" t="str">
        <f>IFERROR(VLOOKUP(A23,'[1]학생 데이터 입력'!$A$2:$J$198,7,FALSE),"")</f>
        <v/>
      </c>
      <c r="H23" s="7" t="str">
        <f>IFERROR(IF(VLOOKUP(A23,'[1]학생 데이터 입력'!$A$2:$J$198,10,FALSE)=0,"",VLOOKUP(A23,'[1]학생 데이터 입력'!$A$2:$J$198,10,FALSE)),"")</f>
        <v/>
      </c>
    </row>
    <row r="24" spans="1:11" s="13" customFormat="1" ht="20.25" customHeight="1" thickBot="1">
      <c r="A24"/>
      <c r="B24" s="8"/>
      <c r="C24" s="9" t="str">
        <f>IFERROR(VLOOKUP(A24,'[1]학생 데이터 입력'!$A$2:$J$198,3,FALSE),"")</f>
        <v/>
      </c>
      <c r="D24" s="10" t="str">
        <f>IFERROR(VLOOKUP(A24,'[1]학생 데이터 입력'!$A$2:$K$198,11,FALSE),"")</f>
        <v/>
      </c>
      <c r="E24" s="9" t="str">
        <f>IFERROR(VLOOKUP(A24,'[1]학생 데이터 입력'!$A$2:$J$198,8,FALSE),"")</f>
        <v/>
      </c>
      <c r="F24" s="9" t="str">
        <f>IFERROR(VLOOKUP(A24,'[1]학생 데이터 입력'!$A$2:$J$198,6,FALSE),"")</f>
        <v/>
      </c>
      <c r="G24" s="9" t="str">
        <f>IFERROR(VLOOKUP(A24,'[1]학생 데이터 입력'!$A$2:$J$198,7,FALSE),"")</f>
        <v/>
      </c>
      <c r="H24" s="11" t="str">
        <f>IFERROR(IF(VLOOKUP(A24,'[1]학생 데이터 입력'!$A$2:$J$198,10,FALSE)=0,"",VLOOKUP(A24,'[1]학생 데이터 입력'!$A$2:$J$198,10,FALSE)),"")</f>
        <v/>
      </c>
      <c r="K24"/>
    </row>
    <row r="25" spans="1:11" ht="19.5" customHeight="1">
      <c r="C25" s="12"/>
    </row>
    <row r="26" spans="1:11" ht="57.75" customHeight="1">
      <c r="B26" s="83" t="s">
        <v>10</v>
      </c>
      <c r="C26" s="84"/>
      <c r="D26" s="85"/>
      <c r="E26" s="85"/>
      <c r="F26" s="85"/>
      <c r="G26" s="85"/>
      <c r="H26" s="84"/>
    </row>
    <row r="30" spans="1:11" ht="40.5" customHeight="1" thickBot="1">
      <c r="B30" s="86" t="str">
        <f>"2025학년도 (     )학년 (     )반  "&amp;M1&amp;"학생 C"</f>
        <v>2025학년도 (     )학년 (     )반  학생 C</v>
      </c>
      <c r="C30" s="84"/>
      <c r="D30" s="85"/>
      <c r="E30" s="85"/>
      <c r="F30" s="85"/>
      <c r="G30" s="85"/>
      <c r="H30" s="84"/>
    </row>
    <row r="31" spans="1:11">
      <c r="B31" s="87" t="s">
        <v>1</v>
      </c>
      <c r="C31" s="89" t="s">
        <v>2</v>
      </c>
      <c r="D31" s="89" t="s">
        <v>3</v>
      </c>
      <c r="E31" s="2" t="s">
        <v>4</v>
      </c>
      <c r="F31" s="2" t="s">
        <v>5</v>
      </c>
      <c r="G31" s="89" t="s">
        <v>6</v>
      </c>
      <c r="H31" s="91" t="s">
        <v>7</v>
      </c>
    </row>
    <row r="32" spans="1:11">
      <c r="B32" s="88"/>
      <c r="C32" s="90"/>
      <c r="D32" s="90"/>
      <c r="E32" s="3" t="s">
        <v>8</v>
      </c>
      <c r="F32" s="3" t="s">
        <v>9</v>
      </c>
      <c r="G32" s="90"/>
      <c r="H32" s="92"/>
    </row>
    <row r="33" spans="2:8" ht="19.5" customHeight="1">
      <c r="B33" s="4">
        <v>1</v>
      </c>
      <c r="C33" s="5" t="str">
        <f>IFERROR(VLOOKUP(A33,'[1]학생 데이터 입력'!$A$2:$J$198,3,FALSE),"")</f>
        <v/>
      </c>
      <c r="D33" s="6" t="str">
        <f>IFERROR(VLOOKUP(A33,'[1]학생 데이터 입력'!$A$2:$K$198,11,FALSE),"")</f>
        <v/>
      </c>
      <c r="E33" s="5" t="str">
        <f>IFERROR(VLOOKUP(A33,'[1]학생 데이터 입력'!$A$2:$J$198,8,FALSE),"")</f>
        <v/>
      </c>
      <c r="F33" s="5" t="str">
        <f>IFERROR(VLOOKUP(A33,'[1]학생 데이터 입력'!$A$2:$J$198,6,FALSE),"")</f>
        <v/>
      </c>
      <c r="G33" s="5" t="str">
        <f>IFERROR(VLOOKUP(A33,'[1]학생 데이터 입력'!$A$2:$J$198,7,FALSE),"")</f>
        <v/>
      </c>
      <c r="H33" s="7" t="str">
        <f>IFERROR(IF(VLOOKUP(A33,'[1]학생 데이터 입력'!$A$2:$J$198,10,FALSE)=0,"",VLOOKUP(A33,'[1]학생 데이터 입력'!$A$2:$J$198,10,FALSE)),"")</f>
        <v/>
      </c>
    </row>
    <row r="34" spans="2:8" ht="19.5" customHeight="1">
      <c r="B34" s="4">
        <v>2</v>
      </c>
      <c r="C34" s="5" t="str">
        <f>IFERROR(VLOOKUP(A34,'[1]학생 데이터 입력'!$A$2:$J$198,3,FALSE),"")</f>
        <v/>
      </c>
      <c r="D34" s="6" t="str">
        <f>IFERROR(VLOOKUP(A34,'[1]학생 데이터 입력'!$A$2:$K$198,11,FALSE),"")</f>
        <v/>
      </c>
      <c r="E34" s="5" t="str">
        <f>IFERROR(VLOOKUP(A34,'[1]학생 데이터 입력'!$A$2:$J$198,8,FALSE),"")</f>
        <v/>
      </c>
      <c r="F34" s="5" t="str">
        <f>IFERROR(VLOOKUP(A34,'[1]학생 데이터 입력'!$A$2:$J$198,6,FALSE),"")</f>
        <v/>
      </c>
      <c r="G34" s="5" t="str">
        <f>IFERROR(VLOOKUP(A34,'[1]학생 데이터 입력'!$A$2:$J$198,7,FALSE),"")</f>
        <v/>
      </c>
      <c r="H34" s="7" t="str">
        <f>IFERROR(IF(VLOOKUP(A34,'[1]학생 데이터 입력'!$A$2:$J$198,10,FALSE)=0,"",VLOOKUP(A34,'[1]학생 데이터 입력'!$A$2:$J$198,10,FALSE)),"")</f>
        <v/>
      </c>
    </row>
    <row r="35" spans="2:8" ht="19.5" customHeight="1">
      <c r="B35" s="4">
        <v>3</v>
      </c>
      <c r="C35" s="5" t="str">
        <f>IFERROR(VLOOKUP(A35,'[1]학생 데이터 입력'!$A$2:$J$198,3,FALSE),"")</f>
        <v/>
      </c>
      <c r="D35" s="6" t="str">
        <f>IFERROR(VLOOKUP(A35,'[1]학생 데이터 입력'!$A$2:$K$198,11,FALSE),"")</f>
        <v/>
      </c>
      <c r="E35" s="5" t="str">
        <f>IFERROR(VLOOKUP(A35,'[1]학생 데이터 입력'!$A$2:$J$198,8,FALSE),"")</f>
        <v/>
      </c>
      <c r="F35" s="5" t="str">
        <f>IFERROR(VLOOKUP(A35,'[1]학생 데이터 입력'!$A$2:$J$198,6,FALSE),"")</f>
        <v/>
      </c>
      <c r="G35" s="5" t="str">
        <f>IFERROR(VLOOKUP(A35,'[1]학생 데이터 입력'!$A$2:$J$198,7,FALSE),"")</f>
        <v/>
      </c>
      <c r="H35" s="7" t="str">
        <f>IFERROR(IF(VLOOKUP(A35,'[1]학생 데이터 입력'!$A$2:$J$198,10,FALSE)=0,"",VLOOKUP(A35,'[1]학생 데이터 입력'!$A$2:$J$198,10,FALSE)),"")</f>
        <v/>
      </c>
    </row>
    <row r="36" spans="2:8" ht="19.5" customHeight="1">
      <c r="B36" s="4">
        <v>4</v>
      </c>
      <c r="C36" s="5" t="str">
        <f>IFERROR(VLOOKUP(A36,'[1]학생 데이터 입력'!$A$2:$J$198,3,FALSE),"")</f>
        <v/>
      </c>
      <c r="D36" s="6" t="str">
        <f>IFERROR(VLOOKUP(A36,'[1]학생 데이터 입력'!$A$2:$K$198,11,FALSE),"")</f>
        <v/>
      </c>
      <c r="E36" s="5" t="str">
        <f>IFERROR(VLOOKUP(A36,'[1]학생 데이터 입력'!$A$2:$J$198,8,FALSE),"")</f>
        <v/>
      </c>
      <c r="F36" s="5" t="str">
        <f>IFERROR(VLOOKUP(A36,'[1]학생 데이터 입력'!$A$2:$J$198,6,FALSE),"")</f>
        <v/>
      </c>
      <c r="G36" s="5" t="str">
        <f>IFERROR(VLOOKUP(A36,'[1]학생 데이터 입력'!$A$2:$J$198,7,FALSE),"")</f>
        <v/>
      </c>
      <c r="H36" s="7" t="str">
        <f>IFERROR(IF(VLOOKUP(A36,'[1]학생 데이터 입력'!$A$2:$J$198,10,FALSE)=0,"",VLOOKUP(A36,'[1]학생 데이터 입력'!$A$2:$J$198,10,FALSE)),"")</f>
        <v/>
      </c>
    </row>
    <row r="37" spans="2:8" ht="19.5" customHeight="1">
      <c r="B37" s="4">
        <v>5</v>
      </c>
      <c r="C37" s="5" t="str">
        <f>IFERROR(VLOOKUP(A37,'[1]학생 데이터 입력'!$A$2:$J$198,3,FALSE),"")</f>
        <v/>
      </c>
      <c r="D37" s="6" t="str">
        <f>IFERROR(VLOOKUP(A37,'[1]학생 데이터 입력'!$A$2:$K$198,11,FALSE),"")</f>
        <v/>
      </c>
      <c r="E37" s="5" t="str">
        <f>IFERROR(VLOOKUP(A37,'[1]학생 데이터 입력'!$A$2:$J$198,8,FALSE),"")</f>
        <v/>
      </c>
      <c r="F37" s="5" t="str">
        <f>IFERROR(VLOOKUP(A37,'[1]학생 데이터 입력'!$A$2:$J$198,6,FALSE),"")</f>
        <v/>
      </c>
      <c r="G37" s="5" t="str">
        <f>IFERROR(VLOOKUP(A37,'[1]학생 데이터 입력'!$A$2:$J$198,7,FALSE),"")</f>
        <v/>
      </c>
      <c r="H37" s="7" t="str">
        <f>IFERROR(IF(VLOOKUP(A37,'[1]학생 데이터 입력'!$A$2:$J$198,10,FALSE)=0,"",VLOOKUP(A37,'[1]학생 데이터 입력'!$A$2:$J$198,10,FALSE)),"")</f>
        <v/>
      </c>
    </row>
    <row r="38" spans="2:8" ht="20.25" customHeight="1" thickBot="1">
      <c r="B38" s="8"/>
      <c r="C38" s="9" t="str">
        <f>IFERROR(VLOOKUP(A38,'[1]학생 데이터 입력'!$A$2:$J$198,3,FALSE),"")</f>
        <v/>
      </c>
      <c r="D38" s="10" t="str">
        <f>IFERROR(VLOOKUP(A38,'[1]학생 데이터 입력'!$A$2:$K$198,11,FALSE),"")</f>
        <v/>
      </c>
      <c r="E38" s="9" t="str">
        <f>IFERROR(VLOOKUP(A38,'[1]학생 데이터 입력'!$A$2:$J$198,8,FALSE),"")</f>
        <v/>
      </c>
      <c r="F38" s="9" t="str">
        <f>IFERROR(VLOOKUP(A38,'[1]학생 데이터 입력'!$A$2:$J$198,6,FALSE),"")</f>
        <v/>
      </c>
      <c r="G38" s="9" t="str">
        <f>IFERROR(VLOOKUP(A38,'[1]학생 데이터 입력'!$A$2:$J$198,7,FALSE),"")</f>
        <v/>
      </c>
      <c r="H38" s="11" t="str">
        <f>IFERROR(IF(VLOOKUP(A38,'[1]학생 데이터 입력'!$A$2:$J$198,10,FALSE)=0,"",VLOOKUP(A38,'[1]학생 데이터 입력'!$A$2:$J$198,10,FALSE)),"")</f>
        <v/>
      </c>
    </row>
    <row r="39" spans="2:8" ht="19.5" customHeight="1">
      <c r="C39" s="12"/>
    </row>
    <row r="40" spans="2:8" ht="47.25" customHeight="1">
      <c r="B40" s="83" t="s">
        <v>10</v>
      </c>
      <c r="C40" s="84"/>
      <c r="D40" s="85"/>
      <c r="E40" s="85"/>
      <c r="F40" s="85"/>
      <c r="G40" s="85"/>
      <c r="H40" s="84"/>
    </row>
    <row r="42" spans="2:8">
      <c r="B42" s="13"/>
      <c r="C42" s="13"/>
      <c r="D42" s="13"/>
      <c r="E42" s="13"/>
      <c r="F42" s="13"/>
      <c r="G42" s="13"/>
      <c r="H42" s="13"/>
    </row>
    <row r="44" spans="2:8" ht="41.25" customHeight="1" thickBot="1">
      <c r="B44" s="86" t="str">
        <f>"2025학년도 (     )학년 (     )반  "&amp;M1&amp;"학생 D"</f>
        <v>2025학년도 (     )학년 (     )반  학생 D</v>
      </c>
      <c r="C44" s="84"/>
      <c r="D44" s="85"/>
      <c r="E44" s="85"/>
      <c r="F44" s="85"/>
      <c r="G44" s="85"/>
      <c r="H44" s="84"/>
    </row>
    <row r="45" spans="2:8">
      <c r="B45" s="87" t="s">
        <v>1</v>
      </c>
      <c r="C45" s="89" t="s">
        <v>2</v>
      </c>
      <c r="D45" s="89" t="s">
        <v>3</v>
      </c>
      <c r="E45" s="2" t="s">
        <v>4</v>
      </c>
      <c r="F45" s="2" t="s">
        <v>5</v>
      </c>
      <c r="G45" s="89" t="s">
        <v>6</v>
      </c>
      <c r="H45" s="91" t="s">
        <v>7</v>
      </c>
    </row>
    <row r="46" spans="2:8">
      <c r="B46" s="88"/>
      <c r="C46" s="90"/>
      <c r="D46" s="90"/>
      <c r="E46" s="3" t="s">
        <v>8</v>
      </c>
      <c r="F46" s="3" t="s">
        <v>9</v>
      </c>
      <c r="G46" s="90"/>
      <c r="H46" s="92"/>
    </row>
    <row r="47" spans="2:8" ht="19.5" customHeight="1">
      <c r="B47" s="4">
        <v>1</v>
      </c>
      <c r="C47" s="5" t="str">
        <f>IFERROR(VLOOKUP(A47,'[1]학생 데이터 입력'!$A$2:$J$198,3,FALSE),"")</f>
        <v/>
      </c>
      <c r="D47" s="6" t="str">
        <f>IFERROR(VLOOKUP(A47,'[1]학생 데이터 입력'!$A$2:$K$198,11,FALSE),"")</f>
        <v/>
      </c>
      <c r="E47" s="5" t="str">
        <f>IFERROR(VLOOKUP(A47,'[1]학생 데이터 입력'!$A$2:$J$198,8,FALSE),"")</f>
        <v/>
      </c>
      <c r="F47" s="5" t="str">
        <f>IFERROR(VLOOKUP(A47,'[1]학생 데이터 입력'!$A$2:$J$198,6,FALSE),"")</f>
        <v/>
      </c>
      <c r="G47" s="5" t="str">
        <f>IFERROR(VLOOKUP(A47,'[1]학생 데이터 입력'!$A$2:$J$198,7,FALSE),"")</f>
        <v/>
      </c>
      <c r="H47" s="7" t="str">
        <f>IFERROR(IF(VLOOKUP(A47,'[1]학생 데이터 입력'!$A$2:$J$198,10,FALSE)=0,"",VLOOKUP(A47,'[1]학생 데이터 입력'!$A$2:$J$198,10,FALSE)),"")</f>
        <v/>
      </c>
    </row>
    <row r="48" spans="2:8" ht="19.5" customHeight="1">
      <c r="B48" s="4">
        <v>2</v>
      </c>
      <c r="C48" s="5" t="str">
        <f>IFERROR(VLOOKUP(A48,'[1]학생 데이터 입력'!$A$2:$J$198,3,FALSE),"")</f>
        <v/>
      </c>
      <c r="D48" s="6" t="str">
        <f>IFERROR(VLOOKUP(A48,'[1]학생 데이터 입력'!$A$2:$K$198,11,FALSE),"")</f>
        <v/>
      </c>
      <c r="E48" s="5" t="str">
        <f>IFERROR(VLOOKUP(A48,'[1]학생 데이터 입력'!$A$2:$J$198,8,FALSE),"")</f>
        <v/>
      </c>
      <c r="F48" s="5" t="str">
        <f>IFERROR(VLOOKUP(A48,'[1]학생 데이터 입력'!$A$2:$J$198,6,FALSE),"")</f>
        <v/>
      </c>
      <c r="G48" s="5" t="str">
        <f>IFERROR(VLOOKUP(A48,'[1]학생 데이터 입력'!$A$2:$J$198,7,FALSE),"")</f>
        <v/>
      </c>
      <c r="H48" s="7" t="str">
        <f>IFERROR(IF(VLOOKUP(A48,'[1]학생 데이터 입력'!$A$2:$J$198,10,FALSE)=0,"",VLOOKUP(A48,'[1]학생 데이터 입력'!$A$2:$J$198,10,FALSE)),"")</f>
        <v/>
      </c>
    </row>
    <row r="49" spans="2:8" ht="19.5" customHeight="1">
      <c r="B49" s="4">
        <v>3</v>
      </c>
      <c r="C49" s="5" t="str">
        <f>IFERROR(VLOOKUP(A49,'[1]학생 데이터 입력'!$A$2:$J$198,3,FALSE),"")</f>
        <v/>
      </c>
      <c r="D49" s="6" t="str">
        <f>IFERROR(VLOOKUP(A49,'[1]학생 데이터 입력'!$A$2:$K$198,11,FALSE),"")</f>
        <v/>
      </c>
      <c r="E49" s="5" t="str">
        <f>IFERROR(VLOOKUP(A49,'[1]학생 데이터 입력'!$A$2:$J$198,8,FALSE),"")</f>
        <v/>
      </c>
      <c r="F49" s="5" t="str">
        <f>IFERROR(VLOOKUP(A49,'[1]학생 데이터 입력'!$A$2:$J$198,6,FALSE),"")</f>
        <v/>
      </c>
      <c r="G49" s="5" t="str">
        <f>IFERROR(VLOOKUP(A49,'[1]학생 데이터 입력'!$A$2:$J$198,7,FALSE),"")</f>
        <v/>
      </c>
      <c r="H49" s="7" t="str">
        <f>IFERROR(IF(VLOOKUP(A49,'[1]학생 데이터 입력'!$A$2:$J$198,10,FALSE)=0,"",VLOOKUP(A49,'[1]학생 데이터 입력'!$A$2:$J$198,10,FALSE)),"")</f>
        <v/>
      </c>
    </row>
    <row r="50" spans="2:8" ht="19.5" customHeight="1">
      <c r="B50" s="4">
        <v>4</v>
      </c>
      <c r="C50" s="5" t="str">
        <f>IFERROR(VLOOKUP(A50,'[1]학생 데이터 입력'!$A$2:$J$198,3,FALSE),"")</f>
        <v/>
      </c>
      <c r="D50" s="6" t="str">
        <f>IFERROR(VLOOKUP(A50,'[1]학생 데이터 입력'!$A$2:$K$198,11,FALSE),"")</f>
        <v/>
      </c>
      <c r="E50" s="5" t="str">
        <f>IFERROR(VLOOKUP(A50,'[1]학생 데이터 입력'!$A$2:$J$198,8,FALSE),"")</f>
        <v/>
      </c>
      <c r="F50" s="5" t="str">
        <f>IFERROR(VLOOKUP(A50,'[1]학생 데이터 입력'!$A$2:$J$198,6,FALSE),"")</f>
        <v/>
      </c>
      <c r="G50" s="5" t="str">
        <f>IFERROR(VLOOKUP(A50,'[1]학생 데이터 입력'!$A$2:$J$198,7,FALSE),"")</f>
        <v/>
      </c>
      <c r="H50" s="7" t="str">
        <f>IFERROR(IF(VLOOKUP(A50,'[1]학생 데이터 입력'!$A$2:$J$198,10,FALSE)=0,"",VLOOKUP(A50,'[1]학생 데이터 입력'!$A$2:$J$198,10,FALSE)),"")</f>
        <v/>
      </c>
    </row>
    <row r="51" spans="2:8" ht="19.5" customHeight="1">
      <c r="B51" s="4">
        <v>5</v>
      </c>
      <c r="C51" s="5" t="str">
        <f>IFERROR(VLOOKUP(A51,'[1]학생 데이터 입력'!$A$2:$J$198,3,FALSE),"")</f>
        <v/>
      </c>
      <c r="D51" s="6" t="str">
        <f>IFERROR(VLOOKUP(A51,'[1]학생 데이터 입력'!$A$2:$K$198,11,FALSE),"")</f>
        <v/>
      </c>
      <c r="E51" s="5" t="str">
        <f>IFERROR(VLOOKUP(A51,'[1]학생 데이터 입력'!$A$2:$J$198,8,FALSE),"")</f>
        <v/>
      </c>
      <c r="F51" s="5" t="str">
        <f>IFERROR(VLOOKUP(A51,'[1]학생 데이터 입력'!$A$2:$J$198,6,FALSE),"")</f>
        <v/>
      </c>
      <c r="G51" s="5" t="str">
        <f>IFERROR(VLOOKUP(A51,'[1]학생 데이터 입력'!$A$2:$J$198,7,FALSE),"")</f>
        <v/>
      </c>
      <c r="H51" s="7" t="str">
        <f>IFERROR(IF(VLOOKUP(A51,'[1]학생 데이터 입력'!$A$2:$J$198,10,FALSE)=0,"",VLOOKUP(A51,'[1]학생 데이터 입력'!$A$2:$J$198,10,FALSE)),"")</f>
        <v/>
      </c>
    </row>
    <row r="52" spans="2:8" ht="20.25" customHeight="1" thickBot="1">
      <c r="B52" s="8"/>
      <c r="C52" s="9" t="str">
        <f>IFERROR(VLOOKUP(A52,'[1]학생 데이터 입력'!$A$2:$J$198,3,FALSE),"")</f>
        <v/>
      </c>
      <c r="D52" s="10" t="str">
        <f>IFERROR(VLOOKUP(A52,'[1]학생 데이터 입력'!$A$2:$K$198,11,FALSE),"")</f>
        <v/>
      </c>
      <c r="E52" s="9" t="str">
        <f>IFERROR(VLOOKUP(A52,'[1]학생 데이터 입력'!$A$2:$J$198,8,FALSE),"")</f>
        <v/>
      </c>
      <c r="F52" s="9" t="str">
        <f>IFERROR(VLOOKUP(A52,'[1]학생 데이터 입력'!$A$2:$J$198,6,FALSE),"")</f>
        <v/>
      </c>
      <c r="G52" s="9" t="str">
        <f>IFERROR(VLOOKUP(A52,'[1]학생 데이터 입력'!$A$2:$J$198,7,FALSE),"")</f>
        <v/>
      </c>
      <c r="H52" s="11" t="str">
        <f>IFERROR(IF(VLOOKUP(A52,'[1]학생 데이터 입력'!$A$2:$J$198,10,FALSE)=0,"",VLOOKUP(A52,'[1]학생 데이터 입력'!$A$2:$J$198,10,FALSE)),"")</f>
        <v/>
      </c>
    </row>
    <row r="53" spans="2:8" ht="19.5" customHeight="1">
      <c r="C53" s="12"/>
    </row>
    <row r="54" spans="2:8" ht="56.25" customHeight="1">
      <c r="B54" s="83" t="s">
        <v>10</v>
      </c>
      <c r="C54" s="84"/>
      <c r="D54" s="85"/>
      <c r="E54" s="85"/>
      <c r="F54" s="85"/>
      <c r="G54" s="85"/>
      <c r="H54" s="84"/>
    </row>
  </sheetData>
  <mergeCells count="28">
    <mergeCell ref="B2:H2"/>
    <mergeCell ref="B3:B4"/>
    <mergeCell ref="C3:C4"/>
    <mergeCell ref="D3:D4"/>
    <mergeCell ref="G3:G4"/>
    <mergeCell ref="H3:H4"/>
    <mergeCell ref="B12:H12"/>
    <mergeCell ref="B16:H16"/>
    <mergeCell ref="B17:B18"/>
    <mergeCell ref="C17:C18"/>
    <mergeCell ref="D17:D18"/>
    <mergeCell ref="G17:G18"/>
    <mergeCell ref="H17:H18"/>
    <mergeCell ref="B26:H26"/>
    <mergeCell ref="B30:H30"/>
    <mergeCell ref="B31:B32"/>
    <mergeCell ref="C31:C32"/>
    <mergeCell ref="D31:D32"/>
    <mergeCell ref="G31:G32"/>
    <mergeCell ref="H31:H32"/>
    <mergeCell ref="B54:H54"/>
    <mergeCell ref="B40:H40"/>
    <mergeCell ref="B44:H44"/>
    <mergeCell ref="B45:B46"/>
    <mergeCell ref="C45:C46"/>
    <mergeCell ref="D45:D46"/>
    <mergeCell ref="G45:G46"/>
    <mergeCell ref="H45:H46"/>
  </mergeCells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7283-4F62-4FAF-8809-382BC555A7D3}">
  <sheetPr codeName="Sheet9"/>
  <dimension ref="A1:T24"/>
  <sheetViews>
    <sheetView workbookViewId="0">
      <selection activeCell="D9" sqref="D9"/>
    </sheetView>
  </sheetViews>
  <sheetFormatPr defaultRowHeight="16.5"/>
  <sheetData>
    <row r="1" spans="1:20" ht="18" customHeight="1" thickTop="1" thickBot="1">
      <c r="A1" s="14" t="s">
        <v>12</v>
      </c>
      <c r="B1" s="14" t="s">
        <v>13</v>
      </c>
      <c r="C1" s="97" t="s">
        <v>14</v>
      </c>
      <c r="D1" s="98"/>
      <c r="E1" s="98"/>
      <c r="F1" s="98"/>
      <c r="G1" s="99"/>
      <c r="H1" s="97" t="s">
        <v>15</v>
      </c>
      <c r="I1" s="98"/>
      <c r="J1" s="99"/>
      <c r="K1" s="97" t="s">
        <v>16</v>
      </c>
      <c r="L1" s="98"/>
      <c r="M1" s="98"/>
      <c r="N1" s="98"/>
      <c r="O1" s="98"/>
      <c r="P1" s="99"/>
      <c r="Q1" s="97" t="s">
        <v>17</v>
      </c>
      <c r="R1" s="98"/>
      <c r="S1" s="99"/>
      <c r="T1" s="93" t="s">
        <v>7</v>
      </c>
    </row>
    <row r="2" spans="1:20" ht="18" customHeight="1" thickTop="1" thickBot="1">
      <c r="A2" s="15" t="s">
        <v>18</v>
      </c>
      <c r="B2" s="15" t="s">
        <v>19</v>
      </c>
      <c r="C2" s="16" t="s">
        <v>20</v>
      </c>
      <c r="D2" s="17" t="s">
        <v>21</v>
      </c>
      <c r="E2" s="17" t="s">
        <v>22</v>
      </c>
      <c r="F2" s="18" t="s">
        <v>23</v>
      </c>
      <c r="G2" s="19" t="s">
        <v>24</v>
      </c>
      <c r="H2" s="20" t="s">
        <v>25</v>
      </c>
      <c r="I2" s="21" t="s">
        <v>26</v>
      </c>
      <c r="J2" s="19" t="s">
        <v>24</v>
      </c>
      <c r="K2" s="20" t="s">
        <v>27</v>
      </c>
      <c r="L2" s="22" t="s">
        <v>28</v>
      </c>
      <c r="M2" s="22" t="s">
        <v>29</v>
      </c>
      <c r="N2" s="22" t="s">
        <v>30</v>
      </c>
      <c r="O2" s="21" t="s">
        <v>31</v>
      </c>
      <c r="P2" s="19" t="s">
        <v>24</v>
      </c>
      <c r="Q2" s="15" t="s">
        <v>0</v>
      </c>
      <c r="R2" s="23" t="s">
        <v>11</v>
      </c>
      <c r="S2" s="19" t="s">
        <v>24</v>
      </c>
      <c r="T2" s="95"/>
    </row>
    <row r="3" spans="1:20" ht="18.75" customHeight="1" thickTop="1" thickBot="1">
      <c r="A3" s="93" t="s">
        <v>32</v>
      </c>
      <c r="B3" s="24" t="s">
        <v>33</v>
      </c>
      <c r="C3" s="25"/>
      <c r="D3" s="25"/>
      <c r="E3" s="25"/>
      <c r="F3" s="25"/>
      <c r="G3" s="26"/>
      <c r="H3" s="25"/>
      <c r="I3" s="25"/>
      <c r="J3" s="26"/>
      <c r="K3" s="25"/>
      <c r="L3" s="25"/>
      <c r="M3" s="25"/>
      <c r="N3" s="25"/>
      <c r="O3" s="25"/>
      <c r="P3" s="26"/>
      <c r="Q3" s="27"/>
      <c r="R3" s="27"/>
      <c r="S3" s="26"/>
      <c r="T3" s="27"/>
    </row>
    <row r="4" spans="1:20" ht="18.75" customHeight="1" thickTop="1" thickBot="1">
      <c r="A4" s="94"/>
      <c r="B4" s="28" t="s">
        <v>34</v>
      </c>
      <c r="C4" s="25"/>
      <c r="D4" s="25"/>
      <c r="E4" s="25"/>
      <c r="F4" s="25"/>
      <c r="G4" s="26"/>
      <c r="H4" s="25"/>
      <c r="I4" s="25"/>
      <c r="J4" s="26"/>
      <c r="K4" s="25"/>
      <c r="L4" s="25"/>
      <c r="M4" s="25"/>
      <c r="N4" s="25"/>
      <c r="O4" s="25"/>
      <c r="P4" s="26"/>
      <c r="Q4" s="27"/>
      <c r="R4" s="27"/>
      <c r="S4" s="26"/>
      <c r="T4" s="29"/>
    </row>
    <row r="5" spans="1:20" ht="18.75" customHeight="1" thickTop="1" thickBot="1">
      <c r="A5" s="94"/>
      <c r="B5" s="28" t="s">
        <v>35</v>
      </c>
      <c r="C5" s="25"/>
      <c r="D5" s="25"/>
      <c r="E5" s="25"/>
      <c r="F5" s="25"/>
      <c r="G5" s="26"/>
      <c r="H5" s="25"/>
      <c r="I5" s="25"/>
      <c r="J5" s="26"/>
      <c r="K5" s="25"/>
      <c r="L5" s="25"/>
      <c r="M5" s="25"/>
      <c r="N5" s="25"/>
      <c r="O5" s="25"/>
      <c r="P5" s="26"/>
      <c r="Q5" s="27"/>
      <c r="R5" s="27"/>
      <c r="S5" s="26"/>
      <c r="T5" s="29"/>
    </row>
    <row r="6" spans="1:20" ht="18.75" customHeight="1" thickTop="1" thickBot="1">
      <c r="A6" s="94"/>
      <c r="B6" s="30" t="s">
        <v>36</v>
      </c>
      <c r="C6" s="25"/>
      <c r="D6" s="25"/>
      <c r="E6" s="25"/>
      <c r="F6" s="25"/>
      <c r="G6" s="26"/>
      <c r="H6" s="25"/>
      <c r="I6" s="25"/>
      <c r="J6" s="26"/>
      <c r="K6" s="25"/>
      <c r="L6" s="25"/>
      <c r="M6" s="25"/>
      <c r="N6" s="25"/>
      <c r="O6" s="25"/>
      <c r="P6" s="26"/>
      <c r="Q6" s="27"/>
      <c r="R6" s="27"/>
      <c r="S6" s="26"/>
      <c r="T6" s="31"/>
    </row>
    <row r="7" spans="1:20" ht="18.75" customHeight="1" thickTop="1" thickBot="1">
      <c r="A7" s="95"/>
      <c r="B7" s="32" t="s">
        <v>24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0" ht="18.75" customHeight="1" thickTop="1" thickBot="1">
      <c r="A8" s="93" t="s">
        <v>37</v>
      </c>
      <c r="B8" s="24" t="s">
        <v>33</v>
      </c>
      <c r="C8" s="25"/>
      <c r="D8" s="25"/>
      <c r="E8" s="25"/>
      <c r="F8" s="25"/>
      <c r="G8" s="26"/>
      <c r="H8" s="25"/>
      <c r="I8" s="25"/>
      <c r="J8" s="26"/>
      <c r="K8" s="25"/>
      <c r="L8" s="25"/>
      <c r="M8" s="25"/>
      <c r="N8" s="25"/>
      <c r="O8" s="25"/>
      <c r="P8" s="26"/>
      <c r="Q8" s="27"/>
      <c r="R8" s="27"/>
      <c r="S8" s="26"/>
      <c r="T8" s="34"/>
    </row>
    <row r="9" spans="1:20" ht="18.75" customHeight="1" thickTop="1" thickBot="1">
      <c r="A9" s="94"/>
      <c r="B9" s="28" t="s">
        <v>34</v>
      </c>
      <c r="C9" s="25"/>
      <c r="D9" s="25"/>
      <c r="E9" s="25"/>
      <c r="F9" s="25"/>
      <c r="G9" s="26"/>
      <c r="H9" s="25"/>
      <c r="I9" s="25"/>
      <c r="J9" s="26"/>
      <c r="K9" s="25"/>
      <c r="L9" s="25"/>
      <c r="M9" s="25"/>
      <c r="N9" s="25"/>
      <c r="O9" s="25"/>
      <c r="P9" s="26"/>
      <c r="Q9" s="27"/>
      <c r="R9" s="27"/>
      <c r="S9" s="26"/>
      <c r="T9" s="29"/>
    </row>
    <row r="10" spans="1:20" ht="18.75" customHeight="1" thickTop="1" thickBot="1">
      <c r="A10" s="94"/>
      <c r="B10" s="28" t="s">
        <v>35</v>
      </c>
      <c r="C10" s="25"/>
      <c r="D10" s="25"/>
      <c r="E10" s="25"/>
      <c r="F10" s="25"/>
      <c r="G10" s="26"/>
      <c r="H10" s="25"/>
      <c r="I10" s="25"/>
      <c r="J10" s="26"/>
      <c r="K10" s="25"/>
      <c r="L10" s="25"/>
      <c r="M10" s="25"/>
      <c r="N10" s="25"/>
      <c r="O10" s="25"/>
      <c r="P10" s="26"/>
      <c r="Q10" s="27"/>
      <c r="R10" s="27"/>
      <c r="S10" s="26"/>
      <c r="T10" s="29"/>
    </row>
    <row r="11" spans="1:20" ht="18.75" customHeight="1" thickTop="1" thickBot="1">
      <c r="A11" s="94"/>
      <c r="B11" s="30" t="s">
        <v>36</v>
      </c>
      <c r="C11" s="25"/>
      <c r="D11" s="25"/>
      <c r="E11" s="25"/>
      <c r="F11" s="25"/>
      <c r="G11" s="26"/>
      <c r="H11" s="25"/>
      <c r="I11" s="25"/>
      <c r="J11" s="26"/>
      <c r="K11" s="25"/>
      <c r="L11" s="25"/>
      <c r="M11" s="25"/>
      <c r="N11" s="25"/>
      <c r="O11" s="25"/>
      <c r="P11" s="26"/>
      <c r="Q11" s="27"/>
      <c r="R11" s="27"/>
      <c r="S11" s="26"/>
      <c r="T11" s="31"/>
    </row>
    <row r="12" spans="1:20" ht="18.75" customHeight="1" thickTop="1" thickBot="1">
      <c r="A12" s="95"/>
      <c r="B12" s="32" t="s">
        <v>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5"/>
    </row>
    <row r="13" spans="1:20" ht="18.75" customHeight="1" thickTop="1" thickBot="1">
      <c r="A13" s="93" t="s">
        <v>38</v>
      </c>
      <c r="B13" s="24" t="s">
        <v>33</v>
      </c>
      <c r="C13" s="25"/>
      <c r="D13" s="25"/>
      <c r="E13" s="25"/>
      <c r="F13" s="25"/>
      <c r="G13" s="26"/>
      <c r="H13" s="25"/>
      <c r="I13" s="25"/>
      <c r="J13" s="26"/>
      <c r="K13" s="25"/>
      <c r="L13" s="25"/>
      <c r="M13" s="25"/>
      <c r="N13" s="25"/>
      <c r="O13" s="25"/>
      <c r="P13" s="26"/>
      <c r="Q13" s="27"/>
      <c r="R13" s="27"/>
      <c r="S13" s="26"/>
      <c r="T13" s="27"/>
    </row>
    <row r="14" spans="1:20" ht="18.75" customHeight="1" thickTop="1" thickBot="1">
      <c r="A14" s="94"/>
      <c r="B14" s="28" t="s">
        <v>34</v>
      </c>
      <c r="C14" s="25"/>
      <c r="D14" s="25"/>
      <c r="E14" s="25"/>
      <c r="F14" s="25"/>
      <c r="G14" s="26"/>
      <c r="H14" s="25"/>
      <c r="I14" s="25"/>
      <c r="J14" s="26"/>
      <c r="K14" s="25"/>
      <c r="L14" s="25"/>
      <c r="M14" s="25"/>
      <c r="N14" s="25"/>
      <c r="O14" s="25"/>
      <c r="P14" s="26"/>
      <c r="Q14" s="27"/>
      <c r="R14" s="27"/>
      <c r="S14" s="26"/>
      <c r="T14" s="29"/>
    </row>
    <row r="15" spans="1:20" ht="18.75" customHeight="1" thickTop="1" thickBot="1">
      <c r="A15" s="94"/>
      <c r="B15" s="28" t="s">
        <v>35</v>
      </c>
      <c r="C15" s="25"/>
      <c r="D15" s="25"/>
      <c r="E15" s="25"/>
      <c r="F15" s="25"/>
      <c r="G15" s="26"/>
      <c r="H15" s="25"/>
      <c r="I15" s="25"/>
      <c r="J15" s="26"/>
      <c r="K15" s="25"/>
      <c r="L15" s="25"/>
      <c r="M15" s="25"/>
      <c r="N15" s="25"/>
      <c r="O15" s="25"/>
      <c r="P15" s="26"/>
      <c r="Q15" s="27"/>
      <c r="R15" s="27"/>
      <c r="S15" s="26"/>
      <c r="T15" s="29"/>
    </row>
    <row r="16" spans="1:20" ht="18.75" customHeight="1" thickTop="1" thickBot="1">
      <c r="A16" s="94"/>
      <c r="B16" s="30" t="s">
        <v>36</v>
      </c>
      <c r="C16" s="25"/>
      <c r="D16" s="25"/>
      <c r="E16" s="25"/>
      <c r="F16" s="25"/>
      <c r="G16" s="26"/>
      <c r="H16" s="25"/>
      <c r="I16" s="25"/>
      <c r="J16" s="26"/>
      <c r="K16" s="25"/>
      <c r="L16" s="25"/>
      <c r="M16" s="25"/>
      <c r="N16" s="25"/>
      <c r="O16" s="25"/>
      <c r="P16" s="26"/>
      <c r="Q16" s="27"/>
      <c r="R16" s="27"/>
      <c r="S16" s="26"/>
      <c r="T16" s="31"/>
    </row>
    <row r="17" spans="1:20" ht="18.75" customHeight="1" thickTop="1" thickBot="1">
      <c r="A17" s="95"/>
      <c r="B17" s="32" t="s">
        <v>24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6"/>
    </row>
    <row r="18" spans="1:20" ht="18.75" customHeight="1" thickTop="1" thickBot="1">
      <c r="A18" s="93" t="s">
        <v>39</v>
      </c>
      <c r="B18" s="24" t="s">
        <v>33</v>
      </c>
      <c r="C18" s="25"/>
      <c r="D18" s="25"/>
      <c r="E18" s="25"/>
      <c r="F18" s="25"/>
      <c r="G18" s="26"/>
      <c r="H18" s="25"/>
      <c r="I18" s="25"/>
      <c r="J18" s="26"/>
      <c r="K18" s="25"/>
      <c r="L18" s="25"/>
      <c r="M18" s="25"/>
      <c r="N18" s="25"/>
      <c r="O18" s="25"/>
      <c r="P18" s="26"/>
      <c r="Q18" s="27"/>
      <c r="R18" s="27"/>
      <c r="S18" s="26"/>
      <c r="T18" s="27"/>
    </row>
    <row r="19" spans="1:20" ht="18.75" customHeight="1" thickTop="1" thickBot="1">
      <c r="A19" s="94"/>
      <c r="B19" s="28" t="s">
        <v>34</v>
      </c>
      <c r="C19" s="25"/>
      <c r="D19" s="25"/>
      <c r="E19" s="25"/>
      <c r="F19" s="25"/>
      <c r="G19" s="26"/>
      <c r="H19" s="25"/>
      <c r="I19" s="25"/>
      <c r="J19" s="26"/>
      <c r="K19" s="25"/>
      <c r="L19" s="25"/>
      <c r="M19" s="25"/>
      <c r="N19" s="25"/>
      <c r="O19" s="25"/>
      <c r="P19" s="26"/>
      <c r="Q19" s="27"/>
      <c r="R19" s="27"/>
      <c r="S19" s="26"/>
      <c r="T19" s="29"/>
    </row>
    <row r="20" spans="1:20" ht="18.75" customHeight="1" thickTop="1" thickBot="1">
      <c r="A20" s="94"/>
      <c r="B20" s="28" t="s">
        <v>35</v>
      </c>
      <c r="C20" s="25"/>
      <c r="D20" s="25"/>
      <c r="E20" s="25"/>
      <c r="F20" s="25"/>
      <c r="G20" s="26"/>
      <c r="H20" s="25"/>
      <c r="I20" s="25"/>
      <c r="J20" s="26"/>
      <c r="K20" s="25"/>
      <c r="L20" s="25"/>
      <c r="M20" s="25"/>
      <c r="N20" s="25"/>
      <c r="O20" s="25"/>
      <c r="P20" s="26"/>
      <c r="Q20" s="27"/>
      <c r="R20" s="27"/>
      <c r="S20" s="26"/>
      <c r="T20" s="29"/>
    </row>
    <row r="21" spans="1:20" ht="18.75" customHeight="1" thickTop="1" thickBot="1">
      <c r="A21" s="94"/>
      <c r="B21" s="30" t="s">
        <v>36</v>
      </c>
      <c r="C21" s="25"/>
      <c r="D21" s="25"/>
      <c r="E21" s="25"/>
      <c r="F21" s="25"/>
      <c r="G21" s="26"/>
      <c r="H21" s="25"/>
      <c r="I21" s="25"/>
      <c r="J21" s="26"/>
      <c r="K21" s="25"/>
      <c r="L21" s="25"/>
      <c r="M21" s="25"/>
      <c r="N21" s="25"/>
      <c r="O21" s="25"/>
      <c r="P21" s="26"/>
      <c r="Q21" s="27"/>
      <c r="R21" s="27"/>
      <c r="S21" s="26"/>
      <c r="T21" s="31"/>
    </row>
    <row r="22" spans="1:20" ht="18.75" customHeight="1" thickTop="1" thickBot="1">
      <c r="A22" s="95"/>
      <c r="B22" s="32" t="s">
        <v>24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6"/>
    </row>
    <row r="23" spans="1:20" ht="18.75" customHeight="1" thickTop="1" thickBot="1">
      <c r="A23" s="93" t="s">
        <v>40</v>
      </c>
      <c r="B23" s="96"/>
      <c r="C23" s="37"/>
      <c r="D23" s="37"/>
      <c r="E23" s="37"/>
      <c r="F23" s="37"/>
      <c r="G23" s="26"/>
      <c r="H23" s="37"/>
      <c r="I23" s="37"/>
      <c r="J23" s="26"/>
      <c r="K23" s="37"/>
      <c r="L23" s="37"/>
      <c r="M23" s="37"/>
      <c r="N23" s="37"/>
      <c r="O23" s="37"/>
      <c r="P23" s="26"/>
      <c r="Q23" s="37"/>
      <c r="R23" s="37"/>
      <c r="S23" s="26"/>
      <c r="T23" s="38"/>
    </row>
    <row r="24" spans="1:20" ht="17.25" customHeight="1" thickTop="1"/>
  </sheetData>
  <mergeCells count="10">
    <mergeCell ref="H1:J1"/>
    <mergeCell ref="K1:P1"/>
    <mergeCell ref="Q1:S1"/>
    <mergeCell ref="T1:T2"/>
    <mergeCell ref="A3:A7"/>
    <mergeCell ref="A8:A12"/>
    <mergeCell ref="A13:A17"/>
    <mergeCell ref="A18:A22"/>
    <mergeCell ref="A23:B23"/>
    <mergeCell ref="C1:G1"/>
  </mergeCells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CCF9-9795-4CD2-945C-F38900520D17}">
  <sheetPr codeName="Sheet7"/>
  <dimension ref="D1:S41"/>
  <sheetViews>
    <sheetView topLeftCell="D1" workbookViewId="0">
      <selection activeCell="R5" sqref="R5"/>
    </sheetView>
  </sheetViews>
  <sheetFormatPr defaultRowHeight="16.5"/>
  <sheetData>
    <row r="1" spans="4:19">
      <c r="D1">
        <v>3</v>
      </c>
    </row>
    <row r="2" spans="4:19" ht="36.75" customHeight="1" thickBot="1">
      <c r="G2" s="104" t="s">
        <v>52</v>
      </c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4:19" ht="17.25" customHeight="1">
      <c r="G3" s="105" t="s">
        <v>41</v>
      </c>
      <c r="H3" s="106"/>
      <c r="I3" s="107"/>
      <c r="J3" s="105" t="s">
        <v>42</v>
      </c>
      <c r="K3" s="106"/>
      <c r="L3" s="107"/>
      <c r="M3" s="108" t="s">
        <v>43</v>
      </c>
      <c r="N3" s="106"/>
      <c r="O3" s="106"/>
      <c r="P3" s="109" t="s">
        <v>44</v>
      </c>
      <c r="Q3" s="106"/>
      <c r="R3" s="107"/>
      <c r="S3" s="75"/>
    </row>
    <row r="4" spans="4:19">
      <c r="G4" s="102" t="s">
        <v>45</v>
      </c>
      <c r="H4" s="100" t="s">
        <v>2</v>
      </c>
      <c r="I4" s="39">
        <v>2022</v>
      </c>
      <c r="J4" s="102" t="s">
        <v>45</v>
      </c>
      <c r="K4" s="100" t="s">
        <v>2</v>
      </c>
      <c r="L4" s="39">
        <f>I4</f>
        <v>2022</v>
      </c>
      <c r="M4" s="110" t="s">
        <v>45</v>
      </c>
      <c r="N4" s="100" t="s">
        <v>2</v>
      </c>
      <c r="O4" s="72">
        <f>I4</f>
        <v>2022</v>
      </c>
      <c r="P4" s="102" t="s">
        <v>45</v>
      </c>
      <c r="Q4" s="100" t="s">
        <v>2</v>
      </c>
      <c r="R4" s="39">
        <f>I4</f>
        <v>2022</v>
      </c>
      <c r="S4" s="76"/>
    </row>
    <row r="5" spans="4:19">
      <c r="G5" s="103"/>
      <c r="H5" s="101"/>
      <c r="I5" s="40" t="s">
        <v>46</v>
      </c>
      <c r="J5" s="103"/>
      <c r="K5" s="101"/>
      <c r="L5" s="40" t="s">
        <v>46</v>
      </c>
      <c r="M5" s="111"/>
      <c r="N5" s="101"/>
      <c r="O5" s="73" t="s">
        <v>46</v>
      </c>
      <c r="P5" s="103"/>
      <c r="Q5" s="101"/>
      <c r="R5" s="40" t="s">
        <v>46</v>
      </c>
      <c r="S5" s="76"/>
    </row>
    <row r="6" spans="4:19">
      <c r="F6" s="41"/>
      <c r="G6" s="71">
        <v>1</v>
      </c>
      <c r="H6" s="42"/>
      <c r="I6" s="43"/>
      <c r="J6" s="71">
        <v>1</v>
      </c>
      <c r="K6" s="42"/>
      <c r="L6" s="43"/>
      <c r="M6" s="80">
        <v>1</v>
      </c>
      <c r="N6" s="42"/>
      <c r="O6" s="74"/>
      <c r="P6" s="71">
        <v>1</v>
      </c>
      <c r="Q6" s="42"/>
      <c r="R6" s="43"/>
      <c r="S6" s="77"/>
    </row>
    <row r="7" spans="4:19">
      <c r="F7" s="41"/>
      <c r="G7" s="71">
        <v>2</v>
      </c>
      <c r="H7" s="42"/>
      <c r="I7" s="43"/>
      <c r="J7" s="71">
        <v>2</v>
      </c>
      <c r="K7" s="42"/>
      <c r="L7" s="43"/>
      <c r="M7" s="80">
        <v>2</v>
      </c>
      <c r="N7" s="42"/>
      <c r="O7" s="74"/>
      <c r="P7" s="71">
        <v>2</v>
      </c>
      <c r="Q7" s="42"/>
      <c r="R7" s="43"/>
    </row>
    <row r="8" spans="4:19">
      <c r="F8" s="41"/>
      <c r="G8" s="71">
        <v>3</v>
      </c>
      <c r="H8" s="42"/>
      <c r="I8" s="43"/>
      <c r="J8" s="71">
        <v>3</v>
      </c>
      <c r="K8" s="42"/>
      <c r="L8" s="43"/>
      <c r="M8" s="80">
        <v>3</v>
      </c>
      <c r="N8" s="42"/>
      <c r="O8" s="74"/>
      <c r="P8" s="71">
        <v>3</v>
      </c>
      <c r="Q8" s="42"/>
      <c r="R8" s="43"/>
    </row>
    <row r="9" spans="4:19">
      <c r="F9" s="41"/>
      <c r="G9" s="71">
        <v>4</v>
      </c>
      <c r="H9" s="42"/>
      <c r="I9" s="43"/>
      <c r="J9" s="71">
        <v>4</v>
      </c>
      <c r="K9" s="42"/>
      <c r="L9" s="43"/>
      <c r="M9" s="80">
        <v>4</v>
      </c>
      <c r="N9" s="42"/>
      <c r="O9" s="74"/>
      <c r="P9" s="71">
        <v>4</v>
      </c>
      <c r="Q9" s="42"/>
      <c r="R9" s="43"/>
    </row>
    <row r="10" spans="4:19">
      <c r="F10" s="41"/>
      <c r="G10" s="71">
        <v>5</v>
      </c>
      <c r="H10" s="42"/>
      <c r="I10" s="43"/>
      <c r="J10" s="71">
        <v>5</v>
      </c>
      <c r="K10" s="42"/>
      <c r="L10" s="43"/>
      <c r="M10" s="80">
        <v>5</v>
      </c>
      <c r="N10" s="42"/>
      <c r="O10" s="74"/>
      <c r="P10" s="71">
        <v>5</v>
      </c>
      <c r="Q10" s="42"/>
      <c r="R10" s="43"/>
    </row>
    <row r="11" spans="4:19">
      <c r="F11" s="41"/>
      <c r="G11" s="71">
        <v>6</v>
      </c>
      <c r="H11" s="42"/>
      <c r="I11" s="43"/>
      <c r="J11" s="71">
        <v>6</v>
      </c>
      <c r="K11" s="42"/>
      <c r="L11" s="43"/>
      <c r="M11" s="80">
        <v>6</v>
      </c>
      <c r="N11" s="42"/>
      <c r="O11" s="74"/>
      <c r="P11" s="71">
        <v>6</v>
      </c>
      <c r="Q11" s="42"/>
      <c r="R11" s="43"/>
    </row>
    <row r="12" spans="4:19">
      <c r="F12" s="41"/>
      <c r="G12" s="71">
        <v>7</v>
      </c>
      <c r="H12" s="42"/>
      <c r="I12" s="43"/>
      <c r="J12" s="71">
        <v>7</v>
      </c>
      <c r="K12" s="42"/>
      <c r="L12" s="43"/>
      <c r="M12" s="80">
        <v>7</v>
      </c>
      <c r="N12" s="42"/>
      <c r="O12" s="74"/>
      <c r="P12" s="71">
        <v>7</v>
      </c>
      <c r="Q12" s="42"/>
      <c r="R12" s="43"/>
    </row>
    <row r="13" spans="4:19">
      <c r="F13" s="41"/>
      <c r="G13" s="71">
        <v>8</v>
      </c>
      <c r="H13" s="42"/>
      <c r="I13" s="43"/>
      <c r="J13" s="71">
        <v>8</v>
      </c>
      <c r="K13" s="42"/>
      <c r="L13" s="43"/>
      <c r="M13" s="80">
        <v>8</v>
      </c>
      <c r="N13" s="42"/>
      <c r="O13" s="74"/>
      <c r="P13" s="71">
        <v>8</v>
      </c>
      <c r="Q13" s="42"/>
      <c r="R13" s="43"/>
    </row>
    <row r="14" spans="4:19">
      <c r="F14" s="41"/>
      <c r="G14" s="71">
        <v>9</v>
      </c>
      <c r="H14" s="42"/>
      <c r="I14" s="43"/>
      <c r="J14" s="71">
        <v>9</v>
      </c>
      <c r="K14" s="42"/>
      <c r="L14" s="43"/>
      <c r="M14" s="80">
        <v>9</v>
      </c>
      <c r="N14" s="42"/>
      <c r="O14" s="74"/>
      <c r="P14" s="71">
        <v>9</v>
      </c>
      <c r="Q14" s="42"/>
      <c r="R14" s="43"/>
    </row>
    <row r="15" spans="4:19">
      <c r="F15" s="41"/>
      <c r="G15" s="71">
        <v>10</v>
      </c>
      <c r="H15" s="42"/>
      <c r="I15" s="43"/>
      <c r="J15" s="71">
        <v>10</v>
      </c>
      <c r="K15" s="42"/>
      <c r="L15" s="43"/>
      <c r="M15" s="80">
        <v>10</v>
      </c>
      <c r="N15" s="42"/>
      <c r="O15" s="74"/>
      <c r="P15" s="71">
        <v>10</v>
      </c>
      <c r="Q15" s="42"/>
      <c r="R15" s="43"/>
    </row>
    <row r="16" spans="4:19">
      <c r="F16" s="41"/>
      <c r="G16" s="71">
        <v>11</v>
      </c>
      <c r="H16" s="42"/>
      <c r="I16" s="43"/>
      <c r="J16" s="71">
        <v>11</v>
      </c>
      <c r="K16" s="42"/>
      <c r="L16" s="43"/>
      <c r="M16" s="80">
        <v>11</v>
      </c>
      <c r="N16" s="42"/>
      <c r="O16" s="74"/>
      <c r="P16" s="71">
        <v>11</v>
      </c>
      <c r="Q16" s="42"/>
      <c r="R16" s="43"/>
    </row>
    <row r="17" spans="6:18">
      <c r="F17" s="41"/>
      <c r="G17" s="71">
        <v>12</v>
      </c>
      <c r="H17" s="42"/>
      <c r="I17" s="43"/>
      <c r="J17" s="71">
        <v>12</v>
      </c>
      <c r="K17" s="42"/>
      <c r="L17" s="43"/>
      <c r="M17" s="80">
        <v>12</v>
      </c>
      <c r="N17" s="42"/>
      <c r="O17" s="74"/>
      <c r="P17" s="71">
        <v>12</v>
      </c>
      <c r="Q17" s="42"/>
      <c r="R17" s="43"/>
    </row>
    <row r="18" spans="6:18">
      <c r="F18" s="41"/>
      <c r="G18" s="71">
        <v>13</v>
      </c>
      <c r="H18" s="42"/>
      <c r="I18" s="43"/>
      <c r="J18" s="71">
        <v>13</v>
      </c>
      <c r="K18" s="42"/>
      <c r="L18" s="43"/>
      <c r="M18" s="80">
        <v>13</v>
      </c>
      <c r="N18" s="42"/>
      <c r="O18" s="74"/>
      <c r="P18" s="71">
        <v>13</v>
      </c>
      <c r="Q18" s="42"/>
      <c r="R18" s="43"/>
    </row>
    <row r="19" spans="6:18">
      <c r="F19" s="41"/>
      <c r="G19" s="71">
        <v>14</v>
      </c>
      <c r="H19" s="42"/>
      <c r="I19" s="43"/>
      <c r="J19" s="71">
        <v>14</v>
      </c>
      <c r="K19" s="42"/>
      <c r="L19" s="43"/>
      <c r="M19" s="80">
        <v>14</v>
      </c>
      <c r="N19" s="42"/>
      <c r="O19" s="74"/>
      <c r="P19" s="71">
        <v>14</v>
      </c>
      <c r="Q19" s="42"/>
      <c r="R19" s="43"/>
    </row>
    <row r="20" spans="6:18">
      <c r="F20" s="41"/>
      <c r="G20" s="71">
        <v>15</v>
      </c>
      <c r="H20" s="42"/>
      <c r="I20" s="43"/>
      <c r="J20" s="71">
        <v>15</v>
      </c>
      <c r="K20" s="42"/>
      <c r="L20" s="43"/>
      <c r="M20" s="80">
        <v>15</v>
      </c>
      <c r="N20" s="42"/>
      <c r="O20" s="74"/>
      <c r="P20" s="71">
        <v>15</v>
      </c>
      <c r="Q20" s="42"/>
      <c r="R20" s="43"/>
    </row>
    <row r="21" spans="6:18">
      <c r="F21" s="41"/>
      <c r="G21" s="71">
        <v>16</v>
      </c>
      <c r="H21" s="42"/>
      <c r="I21" s="43"/>
      <c r="J21" s="71">
        <v>16</v>
      </c>
      <c r="K21" s="42"/>
      <c r="L21" s="43"/>
      <c r="M21" s="80">
        <v>16</v>
      </c>
      <c r="N21" s="42"/>
      <c r="O21" s="74"/>
      <c r="P21" s="71">
        <v>16</v>
      </c>
      <c r="Q21" s="42"/>
      <c r="R21" s="43"/>
    </row>
    <row r="22" spans="6:18">
      <c r="F22" s="41"/>
      <c r="G22" s="71">
        <v>17</v>
      </c>
      <c r="H22" s="42"/>
      <c r="I22" s="43"/>
      <c r="J22" s="71">
        <v>17</v>
      </c>
      <c r="K22" s="42"/>
      <c r="L22" s="43"/>
      <c r="M22" s="80">
        <v>17</v>
      </c>
      <c r="N22" s="42"/>
      <c r="O22" s="74"/>
      <c r="P22" s="71">
        <v>17</v>
      </c>
      <c r="Q22" s="42"/>
      <c r="R22" s="43"/>
    </row>
    <row r="23" spans="6:18" ht="17.25" customHeight="1" thickBot="1">
      <c r="F23" s="41"/>
      <c r="G23" s="44">
        <v>18</v>
      </c>
      <c r="H23" s="45"/>
      <c r="I23" s="46"/>
      <c r="J23" s="44">
        <v>18</v>
      </c>
      <c r="K23" s="45"/>
      <c r="L23" s="46"/>
      <c r="M23" s="81">
        <v>18</v>
      </c>
      <c r="N23" s="45"/>
      <c r="O23" s="78"/>
      <c r="P23" s="44">
        <v>18</v>
      </c>
      <c r="Q23" s="45"/>
      <c r="R23" s="46"/>
    </row>
    <row r="24" spans="6:18">
      <c r="F24" s="41"/>
      <c r="G24" s="47">
        <v>41</v>
      </c>
      <c r="H24" s="48"/>
      <c r="I24" s="49"/>
      <c r="J24" s="47">
        <v>41</v>
      </c>
      <c r="K24" s="48"/>
      <c r="L24" s="49"/>
      <c r="M24" s="82">
        <v>41</v>
      </c>
      <c r="N24" s="48"/>
      <c r="O24" s="79"/>
      <c r="P24" s="47">
        <v>41</v>
      </c>
      <c r="Q24" s="48"/>
      <c r="R24" s="49"/>
    </row>
    <row r="25" spans="6:18">
      <c r="F25" s="41"/>
      <c r="G25" s="71">
        <v>42</v>
      </c>
      <c r="H25" s="42"/>
      <c r="I25" s="43"/>
      <c r="J25" s="71">
        <v>42</v>
      </c>
      <c r="K25" s="42"/>
      <c r="L25" s="43"/>
      <c r="M25" s="80">
        <v>42</v>
      </c>
      <c r="N25" s="42"/>
      <c r="O25" s="74"/>
      <c r="P25" s="71">
        <v>42</v>
      </c>
      <c r="Q25" s="42"/>
      <c r="R25" s="43"/>
    </row>
    <row r="26" spans="6:18">
      <c r="F26" s="41"/>
      <c r="G26" s="71">
        <v>43</v>
      </c>
      <c r="H26" s="42"/>
      <c r="I26" s="43"/>
      <c r="J26" s="71">
        <v>43</v>
      </c>
      <c r="K26" s="42"/>
      <c r="L26" s="43"/>
      <c r="M26" s="80">
        <v>43</v>
      </c>
      <c r="N26" s="42"/>
      <c r="O26" s="74"/>
      <c r="P26" s="71">
        <v>43</v>
      </c>
      <c r="Q26" s="42"/>
      <c r="R26" s="43"/>
    </row>
    <row r="27" spans="6:18">
      <c r="F27" s="41"/>
      <c r="G27" s="71">
        <v>44</v>
      </c>
      <c r="H27" s="42"/>
      <c r="I27" s="43"/>
      <c r="J27" s="71">
        <v>44</v>
      </c>
      <c r="K27" s="42"/>
      <c r="L27" s="43"/>
      <c r="M27" s="80">
        <v>44</v>
      </c>
      <c r="N27" s="42"/>
      <c r="O27" s="74"/>
      <c r="P27" s="71">
        <v>44</v>
      </c>
      <c r="Q27" s="42"/>
      <c r="R27" s="43"/>
    </row>
    <row r="28" spans="6:18">
      <c r="F28" s="41"/>
      <c r="G28" s="71">
        <v>45</v>
      </c>
      <c r="H28" s="42"/>
      <c r="I28" s="43"/>
      <c r="J28" s="71">
        <v>45</v>
      </c>
      <c r="K28" s="42"/>
      <c r="L28" s="43"/>
      <c r="M28" s="80">
        <v>45</v>
      </c>
      <c r="N28" s="42"/>
      <c r="O28" s="74"/>
      <c r="P28" s="71">
        <v>45</v>
      </c>
      <c r="Q28" s="42"/>
      <c r="R28" s="43"/>
    </row>
    <row r="29" spans="6:18">
      <c r="F29" s="41"/>
      <c r="G29" s="71">
        <v>46</v>
      </c>
      <c r="H29" s="42"/>
      <c r="I29" s="43"/>
      <c r="J29" s="71">
        <v>46</v>
      </c>
      <c r="K29" s="42"/>
      <c r="L29" s="43"/>
      <c r="M29" s="80">
        <v>46</v>
      </c>
      <c r="N29" s="42"/>
      <c r="O29" s="74"/>
      <c r="P29" s="71">
        <v>46</v>
      </c>
      <c r="Q29" s="42"/>
      <c r="R29" s="43"/>
    </row>
    <row r="30" spans="6:18">
      <c r="F30" s="41"/>
      <c r="G30" s="71">
        <v>47</v>
      </c>
      <c r="H30" s="42"/>
      <c r="I30" s="43"/>
      <c r="J30" s="71">
        <v>47</v>
      </c>
      <c r="K30" s="42"/>
      <c r="L30" s="43"/>
      <c r="M30" s="80">
        <v>47</v>
      </c>
      <c r="N30" s="42"/>
      <c r="O30" s="74"/>
      <c r="P30" s="71">
        <v>47</v>
      </c>
      <c r="Q30" s="42"/>
      <c r="R30" s="43"/>
    </row>
    <row r="31" spans="6:18">
      <c r="F31" s="41"/>
      <c r="G31" s="71">
        <v>48</v>
      </c>
      <c r="H31" s="42"/>
      <c r="I31" s="43"/>
      <c r="J31" s="71">
        <v>48</v>
      </c>
      <c r="K31" s="42"/>
      <c r="L31" s="43"/>
      <c r="M31" s="80">
        <v>48</v>
      </c>
      <c r="N31" s="42"/>
      <c r="O31" s="74"/>
      <c r="P31" s="71">
        <v>48</v>
      </c>
      <c r="Q31" s="42"/>
      <c r="R31" s="43"/>
    </row>
    <row r="32" spans="6:18">
      <c r="F32" s="41"/>
      <c r="G32" s="71">
        <v>49</v>
      </c>
      <c r="H32" s="42"/>
      <c r="I32" s="43"/>
      <c r="J32" s="71">
        <v>49</v>
      </c>
      <c r="K32" s="42"/>
      <c r="L32" s="43"/>
      <c r="M32" s="80">
        <v>49</v>
      </c>
      <c r="N32" s="42"/>
      <c r="O32" s="74"/>
      <c r="P32" s="71">
        <v>49</v>
      </c>
      <c r="Q32" s="42"/>
      <c r="R32" s="43"/>
    </row>
    <row r="33" spans="6:18">
      <c r="F33" s="41"/>
      <c r="G33" s="71">
        <v>50</v>
      </c>
      <c r="H33" s="42"/>
      <c r="I33" s="43"/>
      <c r="J33" s="71">
        <v>50</v>
      </c>
      <c r="K33" s="42"/>
      <c r="L33" s="43"/>
      <c r="M33" s="80">
        <v>50</v>
      </c>
      <c r="N33" s="42"/>
      <c r="O33" s="74"/>
      <c r="P33" s="71">
        <v>50</v>
      </c>
      <c r="Q33" s="42"/>
      <c r="R33" s="43"/>
    </row>
    <row r="34" spans="6:18">
      <c r="F34" s="41"/>
      <c r="G34" s="71">
        <v>51</v>
      </c>
      <c r="H34" s="42"/>
      <c r="I34" s="43"/>
      <c r="J34" s="71">
        <v>51</v>
      </c>
      <c r="K34" s="42"/>
      <c r="L34" s="43"/>
      <c r="M34" s="80">
        <v>51</v>
      </c>
      <c r="N34" s="42"/>
      <c r="O34" s="74"/>
      <c r="P34" s="71">
        <v>51</v>
      </c>
      <c r="Q34" s="42"/>
      <c r="R34" s="43"/>
    </row>
    <row r="35" spans="6:18">
      <c r="F35" s="41"/>
      <c r="G35" s="71">
        <v>52</v>
      </c>
      <c r="H35" s="42"/>
      <c r="I35" s="43"/>
      <c r="J35" s="71">
        <v>52</v>
      </c>
      <c r="K35" s="42"/>
      <c r="L35" s="43"/>
      <c r="M35" s="80">
        <v>52</v>
      </c>
      <c r="N35" s="42"/>
      <c r="O35" s="74"/>
      <c r="P35" s="71">
        <v>52</v>
      </c>
      <c r="Q35" s="42"/>
      <c r="R35" s="43"/>
    </row>
    <row r="36" spans="6:18">
      <c r="F36" s="41"/>
      <c r="G36" s="71">
        <v>53</v>
      </c>
      <c r="H36" s="42"/>
      <c r="I36" s="43"/>
      <c r="J36" s="71">
        <v>53</v>
      </c>
      <c r="K36" s="42"/>
      <c r="L36" s="43"/>
      <c r="M36" s="80">
        <v>53</v>
      </c>
      <c r="N36" s="42"/>
      <c r="O36" s="74"/>
      <c r="P36" s="71">
        <v>53</v>
      </c>
      <c r="Q36" s="42"/>
      <c r="R36" s="43"/>
    </row>
    <row r="37" spans="6:18">
      <c r="F37" s="41"/>
      <c r="G37" s="71">
        <v>54</v>
      </c>
      <c r="H37" s="42"/>
      <c r="I37" s="43"/>
      <c r="J37" s="71">
        <v>54</v>
      </c>
      <c r="K37" s="42"/>
      <c r="L37" s="43"/>
      <c r="M37" s="80">
        <v>54</v>
      </c>
      <c r="N37" s="42"/>
      <c r="O37" s="74"/>
      <c r="P37" s="71">
        <v>54</v>
      </c>
      <c r="Q37" s="42"/>
      <c r="R37" s="43"/>
    </row>
    <row r="38" spans="6:18">
      <c r="F38" s="41"/>
      <c r="G38" s="71">
        <v>55</v>
      </c>
      <c r="H38" s="42"/>
      <c r="I38" s="43"/>
      <c r="J38" s="71">
        <v>55</v>
      </c>
      <c r="K38" s="42"/>
      <c r="L38" s="43"/>
      <c r="M38" s="80">
        <v>55</v>
      </c>
      <c r="N38" s="42"/>
      <c r="O38" s="74"/>
      <c r="P38" s="71">
        <v>55</v>
      </c>
      <c r="Q38" s="42"/>
      <c r="R38" s="43"/>
    </row>
    <row r="39" spans="6:18">
      <c r="F39" s="41"/>
      <c r="G39" s="71">
        <v>56</v>
      </c>
      <c r="H39" s="42"/>
      <c r="I39" s="43"/>
      <c r="J39" s="71">
        <v>56</v>
      </c>
      <c r="K39" s="42"/>
      <c r="L39" s="43"/>
      <c r="M39" s="80">
        <v>56</v>
      </c>
      <c r="N39" s="42"/>
      <c r="O39" s="74"/>
      <c r="P39" s="71">
        <v>56</v>
      </c>
      <c r="Q39" s="42"/>
      <c r="R39" s="43"/>
    </row>
    <row r="40" spans="6:18">
      <c r="F40" s="41"/>
      <c r="G40" s="71">
        <v>57</v>
      </c>
      <c r="H40" s="42"/>
      <c r="I40" s="43"/>
      <c r="J40" s="71">
        <v>57</v>
      </c>
      <c r="K40" s="42"/>
      <c r="L40" s="43"/>
      <c r="M40" s="80">
        <v>57</v>
      </c>
      <c r="N40" s="42"/>
      <c r="O40" s="74"/>
      <c r="P40" s="71">
        <v>57</v>
      </c>
      <c r="Q40" s="42"/>
      <c r="R40" s="43"/>
    </row>
    <row r="41" spans="6:18" ht="17.25" customHeight="1" thickBot="1">
      <c r="F41" s="41"/>
      <c r="G41" s="44">
        <v>58</v>
      </c>
      <c r="H41" s="45"/>
      <c r="I41" s="46"/>
      <c r="J41" s="44">
        <v>58</v>
      </c>
      <c r="K41" s="45"/>
      <c r="L41" s="46"/>
      <c r="M41" s="81">
        <v>58</v>
      </c>
      <c r="N41" s="45"/>
      <c r="O41" s="78"/>
      <c r="P41" s="44">
        <v>58</v>
      </c>
      <c r="Q41" s="45"/>
      <c r="R41" s="46"/>
    </row>
  </sheetData>
  <mergeCells count="13">
    <mergeCell ref="N4:N5"/>
    <mergeCell ref="P4:P5"/>
    <mergeCell ref="Q4:Q5"/>
    <mergeCell ref="G2:R2"/>
    <mergeCell ref="G3:I3"/>
    <mergeCell ref="J3:L3"/>
    <mergeCell ref="M3:O3"/>
    <mergeCell ref="P3:R3"/>
    <mergeCell ref="G4:G5"/>
    <mergeCell ref="H4:H5"/>
    <mergeCell ref="J4:J5"/>
    <mergeCell ref="K4:K5"/>
    <mergeCell ref="M4:M5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1118-F7E1-45FA-9B3A-47CEC18496A3}">
  <sheetPr codeName="Sheet19"/>
  <dimension ref="A2:I44"/>
  <sheetViews>
    <sheetView workbookViewId="0">
      <selection activeCell="I21" sqref="I21"/>
    </sheetView>
  </sheetViews>
  <sheetFormatPr defaultRowHeight="16.5"/>
  <cols>
    <col min="4" max="4" width="10.5" style="1" customWidth="1"/>
    <col min="8" max="8" width="30.5" style="1" customWidth="1"/>
  </cols>
  <sheetData>
    <row r="2" spans="1:9" ht="43.5" customHeight="1" thickBot="1">
      <c r="B2" s="112" t="s">
        <v>47</v>
      </c>
      <c r="C2" s="85"/>
      <c r="D2" s="84"/>
      <c r="E2" s="85"/>
      <c r="F2" s="85"/>
      <c r="G2" s="85"/>
      <c r="H2" s="84"/>
      <c r="I2" s="85"/>
    </row>
    <row r="3" spans="1:9">
      <c r="B3" s="113" t="s">
        <v>45</v>
      </c>
      <c r="C3" s="114" t="s">
        <v>2</v>
      </c>
      <c r="D3" s="114" t="s">
        <v>3</v>
      </c>
      <c r="E3" s="50" t="s">
        <v>4</v>
      </c>
      <c r="F3" s="50" t="s">
        <v>5</v>
      </c>
      <c r="G3" s="114" t="s">
        <v>48</v>
      </c>
      <c r="H3" s="114" t="s">
        <v>49</v>
      </c>
      <c r="I3" s="51" t="s">
        <v>50</v>
      </c>
    </row>
    <row r="4" spans="1:9">
      <c r="B4" s="88"/>
      <c r="C4" s="90"/>
      <c r="D4" s="90"/>
      <c r="E4" s="52" t="s">
        <v>8</v>
      </c>
      <c r="F4" s="52" t="s">
        <v>8</v>
      </c>
      <c r="G4" s="90"/>
      <c r="H4" s="90"/>
      <c r="I4" s="53" t="s">
        <v>51</v>
      </c>
    </row>
    <row r="5" spans="1:9">
      <c r="A5" s="54"/>
      <c r="B5" s="55">
        <v>1</v>
      </c>
      <c r="C5" s="56"/>
      <c r="D5" s="6"/>
      <c r="E5" s="57"/>
      <c r="F5" s="58"/>
      <c r="G5" s="57"/>
      <c r="H5" s="58"/>
      <c r="I5" s="59"/>
    </row>
    <row r="6" spans="1:9">
      <c r="A6" s="54"/>
      <c r="B6" s="55">
        <v>2</v>
      </c>
      <c r="C6" s="56"/>
      <c r="D6" s="6"/>
      <c r="E6" s="57"/>
      <c r="F6" s="58"/>
      <c r="G6" s="57"/>
      <c r="H6" s="58"/>
      <c r="I6" s="59"/>
    </row>
    <row r="7" spans="1:9">
      <c r="A7" s="54"/>
      <c r="B7" s="55">
        <v>3</v>
      </c>
      <c r="C7" s="56"/>
      <c r="D7" s="6"/>
      <c r="E7" s="57"/>
      <c r="F7" s="58"/>
      <c r="G7" s="57"/>
      <c r="H7" s="58"/>
      <c r="I7" s="59"/>
    </row>
    <row r="8" spans="1:9">
      <c r="A8" s="54"/>
      <c r="B8" s="55">
        <v>4</v>
      </c>
      <c r="C8" s="56"/>
      <c r="D8" s="6"/>
      <c r="E8" s="57"/>
      <c r="F8" s="58"/>
      <c r="G8" s="57"/>
      <c r="H8" s="58"/>
      <c r="I8" s="59"/>
    </row>
    <row r="9" spans="1:9">
      <c r="A9" s="54"/>
      <c r="B9" s="55">
        <v>5</v>
      </c>
      <c r="C9" s="56"/>
      <c r="D9" s="6"/>
      <c r="E9" s="57"/>
      <c r="F9" s="58"/>
      <c r="G9" s="57"/>
      <c r="H9" s="58"/>
      <c r="I9" s="59"/>
    </row>
    <row r="10" spans="1:9">
      <c r="A10" s="54"/>
      <c r="B10" s="55">
        <v>6</v>
      </c>
      <c r="C10" s="56"/>
      <c r="D10" s="6"/>
      <c r="E10" s="57"/>
      <c r="F10" s="58"/>
      <c r="G10" s="57"/>
      <c r="H10" s="58"/>
      <c r="I10" s="59"/>
    </row>
    <row r="11" spans="1:9">
      <c r="A11" s="54"/>
      <c r="B11" s="55">
        <v>7</v>
      </c>
      <c r="C11" s="56"/>
      <c r="D11" s="6"/>
      <c r="E11" s="57"/>
      <c r="F11" s="58"/>
      <c r="G11" s="57"/>
      <c r="H11" s="58"/>
      <c r="I11" s="59"/>
    </row>
    <row r="12" spans="1:9">
      <c r="A12" s="54"/>
      <c r="B12" s="55">
        <v>8</v>
      </c>
      <c r="C12" s="56"/>
      <c r="D12" s="6"/>
      <c r="E12" s="57"/>
      <c r="F12" s="58"/>
      <c r="G12" s="57"/>
      <c r="H12" s="58"/>
      <c r="I12" s="59"/>
    </row>
    <row r="13" spans="1:9">
      <c r="A13" s="54"/>
      <c r="B13" s="55">
        <v>9</v>
      </c>
      <c r="C13" s="56"/>
      <c r="D13" s="6"/>
      <c r="E13" s="57"/>
      <c r="F13" s="58"/>
      <c r="G13" s="57"/>
      <c r="H13" s="58"/>
      <c r="I13" s="59"/>
    </row>
    <row r="14" spans="1:9">
      <c r="A14" s="54"/>
      <c r="B14" s="55">
        <v>10</v>
      </c>
      <c r="C14" s="56"/>
      <c r="D14" s="6"/>
      <c r="E14" s="57"/>
      <c r="F14" s="58"/>
      <c r="G14" s="57"/>
      <c r="H14" s="58"/>
      <c r="I14" s="59"/>
    </row>
    <row r="15" spans="1:9">
      <c r="A15" s="54"/>
      <c r="B15" s="55">
        <v>11</v>
      </c>
      <c r="C15" s="56"/>
      <c r="D15" s="6"/>
      <c r="E15" s="57"/>
      <c r="F15" s="58"/>
      <c r="G15" s="57"/>
      <c r="H15" s="58"/>
      <c r="I15" s="59"/>
    </row>
    <row r="16" spans="1:9">
      <c r="A16" s="54"/>
      <c r="B16" s="55">
        <v>12</v>
      </c>
      <c r="C16" s="56"/>
      <c r="D16" s="6"/>
      <c r="E16" s="57"/>
      <c r="F16" s="58"/>
      <c r="G16" s="57"/>
      <c r="H16" s="58"/>
      <c r="I16" s="59"/>
    </row>
    <row r="17" spans="1:9">
      <c r="A17" s="54"/>
      <c r="B17" s="55">
        <v>13</v>
      </c>
      <c r="C17" s="56"/>
      <c r="D17" s="6"/>
      <c r="E17" s="57"/>
      <c r="F17" s="58"/>
      <c r="G17" s="57"/>
      <c r="H17" s="58"/>
      <c r="I17" s="59"/>
    </row>
    <row r="18" spans="1:9">
      <c r="A18" s="54"/>
      <c r="B18" s="55">
        <v>14</v>
      </c>
      <c r="C18" s="56"/>
      <c r="D18" s="6"/>
      <c r="E18" s="57"/>
      <c r="F18" s="58"/>
      <c r="G18" s="57"/>
      <c r="H18" s="58"/>
      <c r="I18" s="59"/>
    </row>
    <row r="19" spans="1:9">
      <c r="A19" s="54"/>
      <c r="B19" s="55">
        <v>15</v>
      </c>
      <c r="C19" s="56"/>
      <c r="D19" s="6"/>
      <c r="E19" s="57"/>
      <c r="F19" s="58"/>
      <c r="G19" s="57"/>
      <c r="H19" s="58"/>
      <c r="I19" s="59"/>
    </row>
    <row r="20" spans="1:9">
      <c r="A20" s="54"/>
      <c r="B20" s="55">
        <v>16</v>
      </c>
      <c r="C20" s="56"/>
      <c r="D20" s="6"/>
      <c r="E20" s="57"/>
      <c r="F20" s="58"/>
      <c r="G20" s="57"/>
      <c r="H20" s="58"/>
      <c r="I20" s="59"/>
    </row>
    <row r="21" spans="1:9">
      <c r="A21" s="54"/>
      <c r="B21" s="55">
        <v>17</v>
      </c>
      <c r="C21" s="56"/>
      <c r="D21" s="6"/>
      <c r="E21" s="57"/>
      <c r="F21" s="58"/>
      <c r="G21" s="57"/>
      <c r="H21" s="58"/>
      <c r="I21" s="59"/>
    </row>
    <row r="22" spans="1:9">
      <c r="A22" s="54"/>
      <c r="B22" s="55">
        <v>18</v>
      </c>
      <c r="C22" s="56"/>
      <c r="D22" s="6"/>
      <c r="E22" s="57"/>
      <c r="F22" s="58"/>
      <c r="G22" s="57"/>
      <c r="H22" s="58"/>
      <c r="I22" s="59"/>
    </row>
    <row r="23" spans="1:9">
      <c r="A23" s="54"/>
      <c r="B23" s="55">
        <v>19</v>
      </c>
      <c r="C23" s="56"/>
      <c r="D23" s="6"/>
      <c r="E23" s="57"/>
      <c r="F23" s="58"/>
      <c r="G23" s="57"/>
      <c r="H23" s="58"/>
      <c r="I23" s="59"/>
    </row>
    <row r="24" spans="1:9" ht="17.25" customHeight="1" thickBot="1">
      <c r="A24" s="54"/>
      <c r="B24" s="60">
        <v>20</v>
      </c>
      <c r="C24" s="61"/>
      <c r="D24" s="10"/>
      <c r="E24" s="62"/>
      <c r="F24" s="63"/>
      <c r="G24" s="62"/>
      <c r="H24" s="63"/>
      <c r="I24" s="64"/>
    </row>
    <row r="25" spans="1:9">
      <c r="A25" s="54"/>
      <c r="B25" s="65">
        <v>41</v>
      </c>
      <c r="C25" s="66"/>
      <c r="D25" s="67"/>
      <c r="E25" s="68"/>
      <c r="F25" s="69"/>
      <c r="G25" s="68"/>
      <c r="H25" s="69"/>
      <c r="I25" s="70"/>
    </row>
    <row r="26" spans="1:9">
      <c r="A26" s="54"/>
      <c r="B26" s="55">
        <v>42</v>
      </c>
      <c r="C26" s="56"/>
      <c r="D26" s="6"/>
      <c r="E26" s="57"/>
      <c r="F26" s="58"/>
      <c r="G26" s="57"/>
      <c r="H26" s="58"/>
      <c r="I26" s="59"/>
    </row>
    <row r="27" spans="1:9">
      <c r="A27" s="54"/>
      <c r="B27" s="55">
        <v>43</v>
      </c>
      <c r="C27" s="56"/>
      <c r="D27" s="6"/>
      <c r="E27" s="57"/>
      <c r="F27" s="58"/>
      <c r="G27" s="57"/>
      <c r="H27" s="58"/>
      <c r="I27" s="59"/>
    </row>
    <row r="28" spans="1:9">
      <c r="A28" s="54"/>
      <c r="B28" s="55">
        <v>44</v>
      </c>
      <c r="C28" s="56"/>
      <c r="D28" s="6"/>
      <c r="E28" s="57"/>
      <c r="F28" s="58"/>
      <c r="G28" s="57"/>
      <c r="H28" s="58"/>
      <c r="I28" s="59"/>
    </row>
    <row r="29" spans="1:9">
      <c r="A29" s="54"/>
      <c r="B29" s="55">
        <v>45</v>
      </c>
      <c r="C29" s="56"/>
      <c r="D29" s="6"/>
      <c r="E29" s="57"/>
      <c r="F29" s="58"/>
      <c r="G29" s="57"/>
      <c r="H29" s="58"/>
      <c r="I29" s="59"/>
    </row>
    <row r="30" spans="1:9">
      <c r="A30" s="54"/>
      <c r="B30" s="55">
        <v>46</v>
      </c>
      <c r="C30" s="56"/>
      <c r="D30" s="6"/>
      <c r="E30" s="57"/>
      <c r="F30" s="58"/>
      <c r="G30" s="57"/>
      <c r="H30" s="58"/>
      <c r="I30" s="59"/>
    </row>
    <row r="31" spans="1:9">
      <c r="A31" s="54"/>
      <c r="B31" s="55">
        <v>47</v>
      </c>
      <c r="C31" s="56"/>
      <c r="D31" s="6"/>
      <c r="E31" s="57"/>
      <c r="F31" s="58"/>
      <c r="G31" s="57"/>
      <c r="H31" s="58"/>
      <c r="I31" s="59"/>
    </row>
    <row r="32" spans="1:9">
      <c r="A32" s="54"/>
      <c r="B32" s="55">
        <v>48</v>
      </c>
      <c r="C32" s="56"/>
      <c r="D32" s="6"/>
      <c r="E32" s="57"/>
      <c r="F32" s="58"/>
      <c r="G32" s="57"/>
      <c r="H32" s="58"/>
      <c r="I32" s="59"/>
    </row>
    <row r="33" spans="1:9">
      <c r="A33" s="54"/>
      <c r="B33" s="55">
        <v>49</v>
      </c>
      <c r="C33" s="56"/>
      <c r="D33" s="6"/>
      <c r="E33" s="57"/>
      <c r="F33" s="58"/>
      <c r="G33" s="57"/>
      <c r="H33" s="58"/>
      <c r="I33" s="59"/>
    </row>
    <row r="34" spans="1:9">
      <c r="A34" s="54"/>
      <c r="B34" s="55">
        <v>50</v>
      </c>
      <c r="C34" s="56"/>
      <c r="D34" s="6"/>
      <c r="E34" s="57"/>
      <c r="F34" s="58"/>
      <c r="G34" s="57"/>
      <c r="H34" s="58"/>
      <c r="I34" s="59"/>
    </row>
    <row r="35" spans="1:9">
      <c r="A35" s="54"/>
      <c r="B35" s="55">
        <v>51</v>
      </c>
      <c r="C35" s="56"/>
      <c r="D35" s="6"/>
      <c r="E35" s="57"/>
      <c r="F35" s="58"/>
      <c r="G35" s="57"/>
      <c r="H35" s="58"/>
      <c r="I35" s="59"/>
    </row>
    <row r="36" spans="1:9">
      <c r="A36" s="54"/>
      <c r="B36" s="55">
        <v>52</v>
      </c>
      <c r="C36" s="56"/>
      <c r="D36" s="6"/>
      <c r="E36" s="57"/>
      <c r="F36" s="58"/>
      <c r="G36" s="57"/>
      <c r="H36" s="58"/>
      <c r="I36" s="59"/>
    </row>
    <row r="37" spans="1:9">
      <c r="A37" s="54"/>
      <c r="B37" s="55">
        <v>53</v>
      </c>
      <c r="C37" s="56"/>
      <c r="D37" s="6"/>
      <c r="E37" s="57"/>
      <c r="F37" s="58"/>
      <c r="G37" s="57"/>
      <c r="H37" s="58"/>
      <c r="I37" s="59"/>
    </row>
    <row r="38" spans="1:9">
      <c r="A38" s="54"/>
      <c r="B38" s="55">
        <v>54</v>
      </c>
      <c r="C38" s="56"/>
      <c r="D38" s="6"/>
      <c r="E38" s="57"/>
      <c r="F38" s="58"/>
      <c r="G38" s="57"/>
      <c r="H38" s="58"/>
      <c r="I38" s="59"/>
    </row>
    <row r="39" spans="1:9">
      <c r="A39" s="54"/>
      <c r="B39" s="55">
        <v>55</v>
      </c>
      <c r="C39" s="56"/>
      <c r="D39" s="6"/>
      <c r="E39" s="57"/>
      <c r="F39" s="58"/>
      <c r="G39" s="57"/>
      <c r="H39" s="58"/>
      <c r="I39" s="59"/>
    </row>
    <row r="40" spans="1:9">
      <c r="A40" s="54"/>
      <c r="B40" s="55">
        <v>56</v>
      </c>
      <c r="C40" s="56"/>
      <c r="D40" s="6"/>
      <c r="E40" s="57"/>
      <c r="F40" s="58"/>
      <c r="G40" s="57"/>
      <c r="H40" s="58"/>
      <c r="I40" s="59"/>
    </row>
    <row r="41" spans="1:9">
      <c r="A41" s="54"/>
      <c r="B41" s="55">
        <v>57</v>
      </c>
      <c r="C41" s="56"/>
      <c r="D41" s="6"/>
      <c r="E41" s="57"/>
      <c r="F41" s="58"/>
      <c r="G41" s="57"/>
      <c r="H41" s="58"/>
      <c r="I41" s="59"/>
    </row>
    <row r="42" spans="1:9">
      <c r="A42" s="54"/>
      <c r="B42" s="55">
        <v>58</v>
      </c>
      <c r="C42" s="56"/>
      <c r="D42" s="6"/>
      <c r="E42" s="57"/>
      <c r="F42" s="58"/>
      <c r="G42" s="57"/>
      <c r="H42" s="58"/>
      <c r="I42" s="59"/>
    </row>
    <row r="43" spans="1:9">
      <c r="A43" s="54"/>
      <c r="B43" s="55">
        <v>59</v>
      </c>
      <c r="C43" s="56"/>
      <c r="D43" s="6"/>
      <c r="E43" s="57"/>
      <c r="F43" s="58"/>
      <c r="G43" s="57"/>
      <c r="H43" s="58"/>
      <c r="I43" s="59"/>
    </row>
    <row r="44" spans="1:9" ht="17.25" customHeight="1" thickBot="1">
      <c r="A44" s="54"/>
      <c r="B44" s="60">
        <v>60</v>
      </c>
      <c r="C44" s="61"/>
      <c r="D44" s="10"/>
      <c r="E44" s="62"/>
      <c r="F44" s="63"/>
      <c r="G44" s="62"/>
      <c r="H44" s="63"/>
      <c r="I44" s="64"/>
    </row>
  </sheetData>
  <mergeCells count="6">
    <mergeCell ref="B2:I2"/>
    <mergeCell ref="B3:B4"/>
    <mergeCell ref="C3:C4"/>
    <mergeCell ref="D3:D4"/>
    <mergeCell ref="G3:G4"/>
    <mergeCell ref="H3:H4"/>
  </mergeCells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5BE2-0C57-4A50-AAAF-6445CC85D6AA}">
  <sheetPr codeName="Sheet22"/>
  <dimension ref="A2:I44"/>
  <sheetViews>
    <sheetView workbookViewId="0">
      <selection activeCell="I21" sqref="I21"/>
    </sheetView>
  </sheetViews>
  <sheetFormatPr defaultRowHeight="16.5"/>
  <cols>
    <col min="4" max="4" width="10.5" style="1" customWidth="1"/>
    <col min="8" max="8" width="30.5" style="1" customWidth="1"/>
  </cols>
  <sheetData>
    <row r="2" spans="1:9" ht="43.5" customHeight="1" thickBot="1">
      <c r="B2" s="112" t="s">
        <v>47</v>
      </c>
      <c r="C2" s="85"/>
      <c r="D2" s="84"/>
      <c r="E2" s="85"/>
      <c r="F2" s="85"/>
      <c r="G2" s="85"/>
      <c r="H2" s="84"/>
      <c r="I2" s="85"/>
    </row>
    <row r="3" spans="1:9">
      <c r="B3" s="113" t="s">
        <v>45</v>
      </c>
      <c r="C3" s="114" t="s">
        <v>2</v>
      </c>
      <c r="D3" s="114" t="s">
        <v>3</v>
      </c>
      <c r="E3" s="50" t="s">
        <v>4</v>
      </c>
      <c r="F3" s="50" t="s">
        <v>5</v>
      </c>
      <c r="G3" s="114" t="s">
        <v>48</v>
      </c>
      <c r="H3" s="114" t="s">
        <v>49</v>
      </c>
      <c r="I3" s="51" t="s">
        <v>50</v>
      </c>
    </row>
    <row r="4" spans="1:9">
      <c r="B4" s="88"/>
      <c r="C4" s="90"/>
      <c r="D4" s="90"/>
      <c r="E4" s="52" t="s">
        <v>8</v>
      </c>
      <c r="F4" s="52" t="s">
        <v>8</v>
      </c>
      <c r="G4" s="90"/>
      <c r="H4" s="90"/>
      <c r="I4" s="53" t="s">
        <v>51</v>
      </c>
    </row>
    <row r="5" spans="1:9">
      <c r="A5" s="54"/>
      <c r="B5" s="55">
        <v>1</v>
      </c>
      <c r="C5" s="56"/>
      <c r="D5" s="6"/>
      <c r="E5" s="57"/>
      <c r="F5" s="58"/>
      <c r="G5" s="57"/>
      <c r="H5" s="58"/>
      <c r="I5" s="59"/>
    </row>
    <row r="6" spans="1:9">
      <c r="A6" s="54"/>
      <c r="B6" s="55">
        <v>2</v>
      </c>
      <c r="C6" s="56"/>
      <c r="D6" s="6"/>
      <c r="E6" s="57"/>
      <c r="F6" s="58"/>
      <c r="G6" s="57"/>
      <c r="H6" s="58"/>
      <c r="I6" s="59"/>
    </row>
    <row r="7" spans="1:9">
      <c r="A7" s="54"/>
      <c r="B7" s="55">
        <v>3</v>
      </c>
      <c r="C7" s="56"/>
      <c r="D7" s="6"/>
      <c r="E7" s="57"/>
      <c r="F7" s="58"/>
      <c r="G7" s="57"/>
      <c r="H7" s="58"/>
      <c r="I7" s="59"/>
    </row>
    <row r="8" spans="1:9">
      <c r="A8" s="54"/>
      <c r="B8" s="55">
        <v>4</v>
      </c>
      <c r="C8" s="56"/>
      <c r="D8" s="6"/>
      <c r="E8" s="57"/>
      <c r="F8" s="58"/>
      <c r="G8" s="57"/>
      <c r="H8" s="58"/>
      <c r="I8" s="59"/>
    </row>
    <row r="9" spans="1:9">
      <c r="A9" s="54"/>
      <c r="B9" s="55">
        <v>5</v>
      </c>
      <c r="C9" s="56"/>
      <c r="D9" s="6"/>
      <c r="E9" s="57"/>
      <c r="F9" s="58"/>
      <c r="G9" s="57"/>
      <c r="H9" s="58"/>
      <c r="I9" s="59"/>
    </row>
    <row r="10" spans="1:9">
      <c r="A10" s="54"/>
      <c r="B10" s="55">
        <v>6</v>
      </c>
      <c r="C10" s="56"/>
      <c r="D10" s="6"/>
      <c r="E10" s="57"/>
      <c r="F10" s="58"/>
      <c r="G10" s="57"/>
      <c r="H10" s="58"/>
      <c r="I10" s="59"/>
    </row>
    <row r="11" spans="1:9">
      <c r="A11" s="54"/>
      <c r="B11" s="55">
        <v>7</v>
      </c>
      <c r="C11" s="56"/>
      <c r="D11" s="6"/>
      <c r="E11" s="57"/>
      <c r="F11" s="58"/>
      <c r="G11" s="57"/>
      <c r="H11" s="58"/>
      <c r="I11" s="59"/>
    </row>
    <row r="12" spans="1:9">
      <c r="A12" s="54"/>
      <c r="B12" s="55">
        <v>8</v>
      </c>
      <c r="C12" s="56"/>
      <c r="D12" s="6"/>
      <c r="E12" s="57"/>
      <c r="F12" s="58"/>
      <c r="G12" s="57"/>
      <c r="H12" s="58"/>
      <c r="I12" s="59"/>
    </row>
    <row r="13" spans="1:9">
      <c r="A13" s="54"/>
      <c r="B13" s="55">
        <v>9</v>
      </c>
      <c r="C13" s="56"/>
      <c r="D13" s="6"/>
      <c r="E13" s="57"/>
      <c r="F13" s="58"/>
      <c r="G13" s="57"/>
      <c r="H13" s="58"/>
      <c r="I13" s="59"/>
    </row>
    <row r="14" spans="1:9">
      <c r="A14" s="54"/>
      <c r="B14" s="55">
        <v>10</v>
      </c>
      <c r="C14" s="56"/>
      <c r="D14" s="6"/>
      <c r="E14" s="57"/>
      <c r="F14" s="58"/>
      <c r="G14" s="57"/>
      <c r="H14" s="58"/>
      <c r="I14" s="59"/>
    </row>
    <row r="15" spans="1:9">
      <c r="A15" s="54"/>
      <c r="B15" s="55">
        <v>11</v>
      </c>
      <c r="C15" s="56"/>
      <c r="D15" s="6"/>
      <c r="E15" s="57"/>
      <c r="F15" s="58"/>
      <c r="G15" s="57"/>
      <c r="H15" s="58"/>
      <c r="I15" s="59"/>
    </row>
    <row r="16" spans="1:9">
      <c r="A16" s="54"/>
      <c r="B16" s="55">
        <v>12</v>
      </c>
      <c r="C16" s="56"/>
      <c r="D16" s="6"/>
      <c r="E16" s="57"/>
      <c r="F16" s="58"/>
      <c r="G16" s="57"/>
      <c r="H16" s="58"/>
      <c r="I16" s="59"/>
    </row>
    <row r="17" spans="1:9">
      <c r="A17" s="54"/>
      <c r="B17" s="55">
        <v>13</v>
      </c>
      <c r="C17" s="56"/>
      <c r="D17" s="6"/>
      <c r="E17" s="57"/>
      <c r="F17" s="58"/>
      <c r="G17" s="57"/>
      <c r="H17" s="58"/>
      <c r="I17" s="59"/>
    </row>
    <row r="18" spans="1:9">
      <c r="A18" s="54"/>
      <c r="B18" s="55">
        <v>14</v>
      </c>
      <c r="C18" s="56"/>
      <c r="D18" s="6"/>
      <c r="E18" s="57"/>
      <c r="F18" s="58"/>
      <c r="G18" s="57"/>
      <c r="H18" s="58"/>
      <c r="I18" s="59"/>
    </row>
    <row r="19" spans="1:9">
      <c r="A19" s="54"/>
      <c r="B19" s="55">
        <v>15</v>
      </c>
      <c r="C19" s="56"/>
      <c r="D19" s="6"/>
      <c r="E19" s="57"/>
      <c r="F19" s="58"/>
      <c r="G19" s="57"/>
      <c r="H19" s="58"/>
      <c r="I19" s="59"/>
    </row>
    <row r="20" spans="1:9">
      <c r="A20" s="54"/>
      <c r="B20" s="55">
        <v>16</v>
      </c>
      <c r="C20" s="56"/>
      <c r="D20" s="6"/>
      <c r="E20" s="57"/>
      <c r="F20" s="58"/>
      <c r="G20" s="57"/>
      <c r="H20" s="58"/>
      <c r="I20" s="59"/>
    </row>
    <row r="21" spans="1:9">
      <c r="A21" s="54"/>
      <c r="B21" s="55">
        <v>17</v>
      </c>
      <c r="C21" s="56"/>
      <c r="D21" s="6"/>
      <c r="E21" s="57"/>
      <c r="F21" s="58"/>
      <c r="G21" s="57"/>
      <c r="H21" s="58"/>
      <c r="I21" s="59"/>
    </row>
    <row r="22" spans="1:9">
      <c r="A22" s="54"/>
      <c r="B22" s="55">
        <v>18</v>
      </c>
      <c r="C22" s="56"/>
      <c r="D22" s="6"/>
      <c r="E22" s="57"/>
      <c r="F22" s="58"/>
      <c r="G22" s="57"/>
      <c r="H22" s="58"/>
      <c r="I22" s="59"/>
    </row>
    <row r="23" spans="1:9">
      <c r="A23" s="54"/>
      <c r="B23" s="55">
        <v>19</v>
      </c>
      <c r="C23" s="56"/>
      <c r="D23" s="6"/>
      <c r="E23" s="57"/>
      <c r="F23" s="58"/>
      <c r="G23" s="57"/>
      <c r="H23" s="58"/>
      <c r="I23" s="59"/>
    </row>
    <row r="24" spans="1:9" ht="17.25" customHeight="1" thickBot="1">
      <c r="A24" s="54"/>
      <c r="B24" s="60">
        <v>20</v>
      </c>
      <c r="C24" s="61"/>
      <c r="D24" s="10"/>
      <c r="E24" s="62"/>
      <c r="F24" s="63"/>
      <c r="G24" s="62"/>
      <c r="H24" s="63"/>
      <c r="I24" s="64"/>
    </row>
    <row r="25" spans="1:9">
      <c r="A25" s="54"/>
      <c r="B25" s="65">
        <v>41</v>
      </c>
      <c r="C25" s="66"/>
      <c r="D25" s="67"/>
      <c r="E25" s="68"/>
      <c r="F25" s="69"/>
      <c r="G25" s="68"/>
      <c r="H25" s="69"/>
      <c r="I25" s="70"/>
    </row>
    <row r="26" spans="1:9">
      <c r="A26" s="54"/>
      <c r="B26" s="55">
        <v>42</v>
      </c>
      <c r="C26" s="56"/>
      <c r="D26" s="6"/>
      <c r="E26" s="57"/>
      <c r="F26" s="58"/>
      <c r="G26" s="57"/>
      <c r="H26" s="58"/>
      <c r="I26" s="59"/>
    </row>
    <row r="27" spans="1:9">
      <c r="A27" s="54"/>
      <c r="B27" s="55">
        <v>43</v>
      </c>
      <c r="C27" s="56"/>
      <c r="D27" s="6"/>
      <c r="E27" s="57"/>
      <c r="F27" s="58"/>
      <c r="G27" s="57"/>
      <c r="H27" s="58"/>
      <c r="I27" s="59"/>
    </row>
    <row r="28" spans="1:9">
      <c r="A28" s="54"/>
      <c r="B28" s="55">
        <v>44</v>
      </c>
      <c r="C28" s="56"/>
      <c r="D28" s="6"/>
      <c r="E28" s="57"/>
      <c r="F28" s="58"/>
      <c r="G28" s="57"/>
      <c r="H28" s="58"/>
      <c r="I28" s="59"/>
    </row>
    <row r="29" spans="1:9">
      <c r="A29" s="54"/>
      <c r="B29" s="55">
        <v>45</v>
      </c>
      <c r="C29" s="56"/>
      <c r="D29" s="6"/>
      <c r="E29" s="57"/>
      <c r="F29" s="58"/>
      <c r="G29" s="57"/>
      <c r="H29" s="58"/>
      <c r="I29" s="59"/>
    </row>
    <row r="30" spans="1:9">
      <c r="A30" s="54"/>
      <c r="B30" s="55">
        <v>46</v>
      </c>
      <c r="C30" s="56"/>
      <c r="D30" s="6"/>
      <c r="E30" s="57"/>
      <c r="F30" s="58"/>
      <c r="G30" s="57"/>
      <c r="H30" s="58"/>
      <c r="I30" s="59"/>
    </row>
    <row r="31" spans="1:9">
      <c r="A31" s="54"/>
      <c r="B31" s="55">
        <v>47</v>
      </c>
      <c r="C31" s="56"/>
      <c r="D31" s="6"/>
      <c r="E31" s="57"/>
      <c r="F31" s="58"/>
      <c r="G31" s="57"/>
      <c r="H31" s="58"/>
      <c r="I31" s="59"/>
    </row>
    <row r="32" spans="1:9">
      <c r="A32" s="54"/>
      <c r="B32" s="55">
        <v>48</v>
      </c>
      <c r="C32" s="56"/>
      <c r="D32" s="6"/>
      <c r="E32" s="57"/>
      <c r="F32" s="58"/>
      <c r="G32" s="57"/>
      <c r="H32" s="58"/>
      <c r="I32" s="59"/>
    </row>
    <row r="33" spans="1:9">
      <c r="A33" s="54"/>
      <c r="B33" s="55">
        <v>49</v>
      </c>
      <c r="C33" s="56"/>
      <c r="D33" s="6"/>
      <c r="E33" s="57"/>
      <c r="F33" s="58"/>
      <c r="G33" s="57"/>
      <c r="H33" s="58"/>
      <c r="I33" s="59"/>
    </row>
    <row r="34" spans="1:9">
      <c r="A34" s="54"/>
      <c r="B34" s="55">
        <v>50</v>
      </c>
      <c r="C34" s="56"/>
      <c r="D34" s="6"/>
      <c r="E34" s="57"/>
      <c r="F34" s="58"/>
      <c r="G34" s="57"/>
      <c r="H34" s="58"/>
      <c r="I34" s="59"/>
    </row>
    <row r="35" spans="1:9">
      <c r="A35" s="54"/>
      <c r="B35" s="55">
        <v>51</v>
      </c>
      <c r="C35" s="56"/>
      <c r="D35" s="6"/>
      <c r="E35" s="57"/>
      <c r="F35" s="58"/>
      <c r="G35" s="57"/>
      <c r="H35" s="58"/>
      <c r="I35" s="59"/>
    </row>
    <row r="36" spans="1:9">
      <c r="A36" s="54"/>
      <c r="B36" s="55">
        <v>52</v>
      </c>
      <c r="C36" s="56"/>
      <c r="D36" s="6"/>
      <c r="E36" s="57"/>
      <c r="F36" s="58"/>
      <c r="G36" s="57"/>
      <c r="H36" s="58"/>
      <c r="I36" s="59"/>
    </row>
    <row r="37" spans="1:9">
      <c r="A37" s="54"/>
      <c r="B37" s="55">
        <v>53</v>
      </c>
      <c r="C37" s="56"/>
      <c r="D37" s="6"/>
      <c r="E37" s="57"/>
      <c r="F37" s="58"/>
      <c r="G37" s="57"/>
      <c r="H37" s="58"/>
      <c r="I37" s="59"/>
    </row>
    <row r="38" spans="1:9">
      <c r="A38" s="54"/>
      <c r="B38" s="55">
        <v>54</v>
      </c>
      <c r="C38" s="56"/>
      <c r="D38" s="6"/>
      <c r="E38" s="57"/>
      <c r="F38" s="58"/>
      <c r="G38" s="57"/>
      <c r="H38" s="58"/>
      <c r="I38" s="59"/>
    </row>
    <row r="39" spans="1:9">
      <c r="A39" s="54"/>
      <c r="B39" s="55">
        <v>55</v>
      </c>
      <c r="C39" s="56"/>
      <c r="D39" s="6"/>
      <c r="E39" s="57"/>
      <c r="F39" s="58"/>
      <c r="G39" s="57"/>
      <c r="H39" s="58"/>
      <c r="I39" s="59"/>
    </row>
    <row r="40" spans="1:9">
      <c r="A40" s="54"/>
      <c r="B40" s="55">
        <v>56</v>
      </c>
      <c r="C40" s="56"/>
      <c r="D40" s="6"/>
      <c r="E40" s="57"/>
      <c r="F40" s="58"/>
      <c r="G40" s="57"/>
      <c r="H40" s="58"/>
      <c r="I40" s="59"/>
    </row>
    <row r="41" spans="1:9">
      <c r="A41" s="54"/>
      <c r="B41" s="55">
        <v>57</v>
      </c>
      <c r="C41" s="56"/>
      <c r="D41" s="6"/>
      <c r="E41" s="57"/>
      <c r="F41" s="58"/>
      <c r="G41" s="57"/>
      <c r="H41" s="58"/>
      <c r="I41" s="59"/>
    </row>
    <row r="42" spans="1:9">
      <c r="A42" s="54"/>
      <c r="B42" s="55">
        <v>58</v>
      </c>
      <c r="C42" s="56"/>
      <c r="D42" s="6"/>
      <c r="E42" s="57"/>
      <c r="F42" s="58"/>
      <c r="G42" s="57"/>
      <c r="H42" s="58"/>
      <c r="I42" s="59"/>
    </row>
    <row r="43" spans="1:9">
      <c r="A43" s="54"/>
      <c r="B43" s="55">
        <v>59</v>
      </c>
      <c r="C43" s="56"/>
      <c r="D43" s="6"/>
      <c r="E43" s="57"/>
      <c r="F43" s="58"/>
      <c r="G43" s="57"/>
      <c r="H43" s="58"/>
      <c r="I43" s="59"/>
    </row>
    <row r="44" spans="1:9" ht="17.25" customHeight="1" thickBot="1">
      <c r="A44" s="54"/>
      <c r="B44" s="60">
        <v>60</v>
      </c>
      <c r="C44" s="61"/>
      <c r="D44" s="10"/>
      <c r="E44" s="62"/>
      <c r="F44" s="63"/>
      <c r="G44" s="62"/>
      <c r="H44" s="63"/>
      <c r="I44" s="64"/>
    </row>
  </sheetData>
  <mergeCells count="6">
    <mergeCell ref="B2:I2"/>
    <mergeCell ref="B3:B4"/>
    <mergeCell ref="C3:C4"/>
    <mergeCell ref="D3:D4"/>
    <mergeCell ref="G3:G4"/>
    <mergeCell ref="H3:H4"/>
  </mergeCells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40DE-4DA2-4AF3-A443-D4173A3BB736}">
  <sheetPr codeName="Sheet21"/>
  <dimension ref="A2:I44"/>
  <sheetViews>
    <sheetView workbookViewId="0">
      <selection activeCell="I21" sqref="I21"/>
    </sheetView>
  </sheetViews>
  <sheetFormatPr defaultRowHeight="16.5"/>
  <cols>
    <col min="4" max="4" width="10.5" style="1" customWidth="1"/>
    <col min="8" max="8" width="30.5" style="1" customWidth="1"/>
  </cols>
  <sheetData>
    <row r="2" spans="1:9" ht="43.5" customHeight="1" thickBot="1">
      <c r="B2" s="112" t="s">
        <v>47</v>
      </c>
      <c r="C2" s="85"/>
      <c r="D2" s="84"/>
      <c r="E2" s="85"/>
      <c r="F2" s="85"/>
      <c r="G2" s="85"/>
      <c r="H2" s="84"/>
      <c r="I2" s="85"/>
    </row>
    <row r="3" spans="1:9">
      <c r="B3" s="113" t="s">
        <v>45</v>
      </c>
      <c r="C3" s="114" t="s">
        <v>2</v>
      </c>
      <c r="D3" s="114" t="s">
        <v>3</v>
      </c>
      <c r="E3" s="50" t="s">
        <v>4</v>
      </c>
      <c r="F3" s="50" t="s">
        <v>5</v>
      </c>
      <c r="G3" s="114" t="s">
        <v>48</v>
      </c>
      <c r="H3" s="114" t="s">
        <v>49</v>
      </c>
      <c r="I3" s="51" t="s">
        <v>50</v>
      </c>
    </row>
    <row r="4" spans="1:9">
      <c r="B4" s="88"/>
      <c r="C4" s="90"/>
      <c r="D4" s="90"/>
      <c r="E4" s="52" t="s">
        <v>8</v>
      </c>
      <c r="F4" s="52" t="s">
        <v>8</v>
      </c>
      <c r="G4" s="90"/>
      <c r="H4" s="90"/>
      <c r="I4" s="53" t="s">
        <v>51</v>
      </c>
    </row>
    <row r="5" spans="1:9">
      <c r="A5" s="54"/>
      <c r="B5" s="55">
        <v>1</v>
      </c>
      <c r="C5" s="56"/>
      <c r="D5" s="6"/>
      <c r="E5" s="57"/>
      <c r="F5" s="58"/>
      <c r="G5" s="57"/>
      <c r="H5" s="58"/>
      <c r="I5" s="59"/>
    </row>
    <row r="6" spans="1:9">
      <c r="A6" s="54"/>
      <c r="B6" s="55">
        <v>2</v>
      </c>
      <c r="C6" s="56"/>
      <c r="D6" s="6"/>
      <c r="E6" s="57"/>
      <c r="F6" s="58"/>
      <c r="G6" s="57"/>
      <c r="H6" s="58"/>
      <c r="I6" s="59"/>
    </row>
    <row r="7" spans="1:9">
      <c r="A7" s="54"/>
      <c r="B7" s="55">
        <v>3</v>
      </c>
      <c r="C7" s="56"/>
      <c r="D7" s="6"/>
      <c r="E7" s="57"/>
      <c r="F7" s="58"/>
      <c r="G7" s="57"/>
      <c r="H7" s="58"/>
      <c r="I7" s="59"/>
    </row>
    <row r="8" spans="1:9">
      <c r="A8" s="54"/>
      <c r="B8" s="55">
        <v>4</v>
      </c>
      <c r="C8" s="56"/>
      <c r="D8" s="6"/>
      <c r="E8" s="57"/>
      <c r="F8" s="58"/>
      <c r="G8" s="57"/>
      <c r="H8" s="58"/>
      <c r="I8" s="59"/>
    </row>
    <row r="9" spans="1:9">
      <c r="A9" s="54"/>
      <c r="B9" s="55">
        <v>5</v>
      </c>
      <c r="C9" s="56"/>
      <c r="D9" s="6"/>
      <c r="E9" s="57"/>
      <c r="F9" s="58"/>
      <c r="G9" s="57"/>
      <c r="H9" s="58"/>
      <c r="I9" s="59"/>
    </row>
    <row r="10" spans="1:9">
      <c r="A10" s="54"/>
      <c r="B10" s="55">
        <v>6</v>
      </c>
      <c r="C10" s="56"/>
      <c r="D10" s="6"/>
      <c r="E10" s="57"/>
      <c r="F10" s="58"/>
      <c r="G10" s="57"/>
      <c r="H10" s="58"/>
      <c r="I10" s="59"/>
    </row>
    <row r="11" spans="1:9">
      <c r="A11" s="54"/>
      <c r="B11" s="55">
        <v>7</v>
      </c>
      <c r="C11" s="56"/>
      <c r="D11" s="6"/>
      <c r="E11" s="57"/>
      <c r="F11" s="58"/>
      <c r="G11" s="57"/>
      <c r="H11" s="58"/>
      <c r="I11" s="59"/>
    </row>
    <row r="12" spans="1:9">
      <c r="A12" s="54"/>
      <c r="B12" s="55">
        <v>8</v>
      </c>
      <c r="C12" s="56"/>
      <c r="D12" s="6"/>
      <c r="E12" s="57"/>
      <c r="F12" s="58"/>
      <c r="G12" s="57"/>
      <c r="H12" s="58"/>
      <c r="I12" s="59"/>
    </row>
    <row r="13" spans="1:9">
      <c r="A13" s="54"/>
      <c r="B13" s="55">
        <v>9</v>
      </c>
      <c r="C13" s="56"/>
      <c r="D13" s="6"/>
      <c r="E13" s="57"/>
      <c r="F13" s="58"/>
      <c r="G13" s="57"/>
      <c r="H13" s="58"/>
      <c r="I13" s="59"/>
    </row>
    <row r="14" spans="1:9">
      <c r="A14" s="54"/>
      <c r="B14" s="55">
        <v>10</v>
      </c>
      <c r="C14" s="56"/>
      <c r="D14" s="6"/>
      <c r="E14" s="57"/>
      <c r="F14" s="58"/>
      <c r="G14" s="57"/>
      <c r="H14" s="58"/>
      <c r="I14" s="59"/>
    </row>
    <row r="15" spans="1:9">
      <c r="A15" s="54"/>
      <c r="B15" s="55">
        <v>11</v>
      </c>
      <c r="C15" s="56"/>
      <c r="D15" s="6"/>
      <c r="E15" s="57"/>
      <c r="F15" s="58"/>
      <c r="G15" s="57"/>
      <c r="H15" s="58"/>
      <c r="I15" s="59"/>
    </row>
    <row r="16" spans="1:9">
      <c r="A16" s="54"/>
      <c r="B16" s="55">
        <v>12</v>
      </c>
      <c r="C16" s="56"/>
      <c r="D16" s="6"/>
      <c r="E16" s="57"/>
      <c r="F16" s="58"/>
      <c r="G16" s="57"/>
      <c r="H16" s="58"/>
      <c r="I16" s="59"/>
    </row>
    <row r="17" spans="1:9">
      <c r="A17" s="54"/>
      <c r="B17" s="55">
        <v>13</v>
      </c>
      <c r="C17" s="56"/>
      <c r="D17" s="6"/>
      <c r="E17" s="57"/>
      <c r="F17" s="58"/>
      <c r="G17" s="57"/>
      <c r="H17" s="58"/>
      <c r="I17" s="59"/>
    </row>
    <row r="18" spans="1:9">
      <c r="A18" s="54"/>
      <c r="B18" s="55">
        <v>14</v>
      </c>
      <c r="C18" s="56"/>
      <c r="D18" s="6"/>
      <c r="E18" s="57"/>
      <c r="F18" s="58"/>
      <c r="G18" s="57"/>
      <c r="H18" s="58"/>
      <c r="I18" s="59"/>
    </row>
    <row r="19" spans="1:9">
      <c r="A19" s="54"/>
      <c r="B19" s="55">
        <v>15</v>
      </c>
      <c r="C19" s="56"/>
      <c r="D19" s="6"/>
      <c r="E19" s="57"/>
      <c r="F19" s="58"/>
      <c r="G19" s="57"/>
      <c r="H19" s="58"/>
      <c r="I19" s="59"/>
    </row>
    <row r="20" spans="1:9">
      <c r="A20" s="54"/>
      <c r="B20" s="55">
        <v>16</v>
      </c>
      <c r="C20" s="56"/>
      <c r="D20" s="6"/>
      <c r="E20" s="57"/>
      <c r="F20" s="58"/>
      <c r="G20" s="57"/>
      <c r="H20" s="58"/>
      <c r="I20" s="59"/>
    </row>
    <row r="21" spans="1:9">
      <c r="A21" s="54"/>
      <c r="B21" s="55">
        <v>17</v>
      </c>
      <c r="C21" s="56"/>
      <c r="D21" s="6"/>
      <c r="E21" s="57"/>
      <c r="F21" s="58"/>
      <c r="G21" s="57"/>
      <c r="H21" s="58"/>
      <c r="I21" s="59"/>
    </row>
    <row r="22" spans="1:9">
      <c r="A22" s="54"/>
      <c r="B22" s="55">
        <v>18</v>
      </c>
      <c r="C22" s="56"/>
      <c r="D22" s="6"/>
      <c r="E22" s="57"/>
      <c r="F22" s="58"/>
      <c r="G22" s="57"/>
      <c r="H22" s="58"/>
      <c r="I22" s="59"/>
    </row>
    <row r="23" spans="1:9">
      <c r="A23" s="54"/>
      <c r="B23" s="55">
        <v>19</v>
      </c>
      <c r="C23" s="56"/>
      <c r="D23" s="6"/>
      <c r="E23" s="57"/>
      <c r="F23" s="58"/>
      <c r="G23" s="57"/>
      <c r="H23" s="58"/>
      <c r="I23" s="59"/>
    </row>
    <row r="24" spans="1:9" ht="17.25" customHeight="1" thickBot="1">
      <c r="A24" s="54"/>
      <c r="B24" s="60">
        <v>20</v>
      </c>
      <c r="C24" s="61"/>
      <c r="D24" s="10"/>
      <c r="E24" s="62"/>
      <c r="F24" s="63"/>
      <c r="G24" s="62"/>
      <c r="H24" s="63"/>
      <c r="I24" s="64"/>
    </row>
    <row r="25" spans="1:9">
      <c r="A25" s="54"/>
      <c r="B25" s="65">
        <v>41</v>
      </c>
      <c r="C25" s="66"/>
      <c r="D25" s="67"/>
      <c r="E25" s="68"/>
      <c r="F25" s="69"/>
      <c r="G25" s="68"/>
      <c r="H25" s="69"/>
      <c r="I25" s="70"/>
    </row>
    <row r="26" spans="1:9">
      <c r="A26" s="54"/>
      <c r="B26" s="55">
        <v>42</v>
      </c>
      <c r="C26" s="56"/>
      <c r="D26" s="6"/>
      <c r="E26" s="57"/>
      <c r="F26" s="58"/>
      <c r="G26" s="57"/>
      <c r="H26" s="58"/>
      <c r="I26" s="59"/>
    </row>
    <row r="27" spans="1:9">
      <c r="A27" s="54"/>
      <c r="B27" s="55">
        <v>43</v>
      </c>
      <c r="C27" s="56"/>
      <c r="D27" s="6"/>
      <c r="E27" s="57"/>
      <c r="F27" s="58"/>
      <c r="G27" s="57"/>
      <c r="H27" s="58"/>
      <c r="I27" s="59"/>
    </row>
    <row r="28" spans="1:9">
      <c r="A28" s="54"/>
      <c r="B28" s="55">
        <v>44</v>
      </c>
      <c r="C28" s="56"/>
      <c r="D28" s="6"/>
      <c r="E28" s="57"/>
      <c r="F28" s="58"/>
      <c r="G28" s="57"/>
      <c r="H28" s="58"/>
      <c r="I28" s="59"/>
    </row>
    <row r="29" spans="1:9">
      <c r="A29" s="54"/>
      <c r="B29" s="55">
        <v>45</v>
      </c>
      <c r="C29" s="56"/>
      <c r="D29" s="6"/>
      <c r="E29" s="57"/>
      <c r="F29" s="58"/>
      <c r="G29" s="57"/>
      <c r="H29" s="58"/>
      <c r="I29" s="59"/>
    </row>
    <row r="30" spans="1:9">
      <c r="A30" s="54"/>
      <c r="B30" s="55">
        <v>46</v>
      </c>
      <c r="C30" s="56"/>
      <c r="D30" s="6"/>
      <c r="E30" s="57"/>
      <c r="F30" s="58"/>
      <c r="G30" s="57"/>
      <c r="H30" s="58"/>
      <c r="I30" s="59"/>
    </row>
    <row r="31" spans="1:9">
      <c r="A31" s="54"/>
      <c r="B31" s="55">
        <v>47</v>
      </c>
      <c r="C31" s="56"/>
      <c r="D31" s="6"/>
      <c r="E31" s="57"/>
      <c r="F31" s="58"/>
      <c r="G31" s="57"/>
      <c r="H31" s="58"/>
      <c r="I31" s="59"/>
    </row>
    <row r="32" spans="1:9">
      <c r="A32" s="54"/>
      <c r="B32" s="55">
        <v>48</v>
      </c>
      <c r="C32" s="56"/>
      <c r="D32" s="6"/>
      <c r="E32" s="57"/>
      <c r="F32" s="58"/>
      <c r="G32" s="57"/>
      <c r="H32" s="58"/>
      <c r="I32" s="59"/>
    </row>
    <row r="33" spans="1:9">
      <c r="A33" s="54"/>
      <c r="B33" s="55">
        <v>49</v>
      </c>
      <c r="C33" s="56"/>
      <c r="D33" s="6"/>
      <c r="E33" s="57"/>
      <c r="F33" s="58"/>
      <c r="G33" s="57"/>
      <c r="H33" s="58"/>
      <c r="I33" s="59"/>
    </row>
    <row r="34" spans="1:9">
      <c r="A34" s="54"/>
      <c r="B34" s="55">
        <v>50</v>
      </c>
      <c r="C34" s="56"/>
      <c r="D34" s="6"/>
      <c r="E34" s="57"/>
      <c r="F34" s="58"/>
      <c r="G34" s="57"/>
      <c r="H34" s="58"/>
      <c r="I34" s="59"/>
    </row>
    <row r="35" spans="1:9">
      <c r="A35" s="54"/>
      <c r="B35" s="55">
        <v>51</v>
      </c>
      <c r="C35" s="56"/>
      <c r="D35" s="6"/>
      <c r="E35" s="57"/>
      <c r="F35" s="58"/>
      <c r="G35" s="57"/>
      <c r="H35" s="58"/>
      <c r="I35" s="59"/>
    </row>
    <row r="36" spans="1:9">
      <c r="A36" s="54"/>
      <c r="B36" s="55">
        <v>52</v>
      </c>
      <c r="C36" s="56"/>
      <c r="D36" s="6"/>
      <c r="E36" s="57"/>
      <c r="F36" s="58"/>
      <c r="G36" s="57"/>
      <c r="H36" s="58"/>
      <c r="I36" s="59"/>
    </row>
    <row r="37" spans="1:9">
      <c r="A37" s="54"/>
      <c r="B37" s="55">
        <v>53</v>
      </c>
      <c r="C37" s="56"/>
      <c r="D37" s="6"/>
      <c r="E37" s="57"/>
      <c r="F37" s="58"/>
      <c r="G37" s="57"/>
      <c r="H37" s="58"/>
      <c r="I37" s="59"/>
    </row>
    <row r="38" spans="1:9">
      <c r="A38" s="54"/>
      <c r="B38" s="55">
        <v>54</v>
      </c>
      <c r="C38" s="56"/>
      <c r="D38" s="6"/>
      <c r="E38" s="57"/>
      <c r="F38" s="58"/>
      <c r="G38" s="57"/>
      <c r="H38" s="58"/>
      <c r="I38" s="59"/>
    </row>
    <row r="39" spans="1:9">
      <c r="A39" s="54"/>
      <c r="B39" s="55">
        <v>55</v>
      </c>
      <c r="C39" s="56"/>
      <c r="D39" s="6"/>
      <c r="E39" s="57"/>
      <c r="F39" s="58"/>
      <c r="G39" s="57"/>
      <c r="H39" s="58"/>
      <c r="I39" s="59"/>
    </row>
    <row r="40" spans="1:9">
      <c r="A40" s="54"/>
      <c r="B40" s="55">
        <v>56</v>
      </c>
      <c r="C40" s="56"/>
      <c r="D40" s="6"/>
      <c r="E40" s="57"/>
      <c r="F40" s="58"/>
      <c r="G40" s="57"/>
      <c r="H40" s="58"/>
      <c r="I40" s="59"/>
    </row>
    <row r="41" spans="1:9">
      <c r="A41" s="54"/>
      <c r="B41" s="55">
        <v>57</v>
      </c>
      <c r="C41" s="56"/>
      <c r="D41" s="6"/>
      <c r="E41" s="57"/>
      <c r="F41" s="58"/>
      <c r="G41" s="57"/>
      <c r="H41" s="58"/>
      <c r="I41" s="59"/>
    </row>
    <row r="42" spans="1:9">
      <c r="A42" s="54"/>
      <c r="B42" s="55">
        <v>58</v>
      </c>
      <c r="C42" s="56"/>
      <c r="D42" s="6"/>
      <c r="E42" s="57"/>
      <c r="F42" s="58"/>
      <c r="G42" s="57"/>
      <c r="H42" s="58"/>
      <c r="I42" s="59"/>
    </row>
    <row r="43" spans="1:9">
      <c r="A43" s="54"/>
      <c r="B43" s="55">
        <v>59</v>
      </c>
      <c r="C43" s="56"/>
      <c r="D43" s="6"/>
      <c r="E43" s="57"/>
      <c r="F43" s="58"/>
      <c r="G43" s="57"/>
      <c r="H43" s="58"/>
      <c r="I43" s="59"/>
    </row>
    <row r="44" spans="1:9" ht="17.25" customHeight="1" thickBot="1">
      <c r="A44" s="54"/>
      <c r="B44" s="60">
        <v>60</v>
      </c>
      <c r="C44" s="61"/>
      <c r="D44" s="10"/>
      <c r="E44" s="62"/>
      <c r="F44" s="63"/>
      <c r="G44" s="62"/>
      <c r="H44" s="63"/>
      <c r="I44" s="64"/>
    </row>
  </sheetData>
  <mergeCells count="6">
    <mergeCell ref="B2:I2"/>
    <mergeCell ref="B3:B4"/>
    <mergeCell ref="C3:C4"/>
    <mergeCell ref="D3:D4"/>
    <mergeCell ref="G3:G4"/>
    <mergeCell ref="H3:H4"/>
  </mergeCells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9445-5268-49C1-A5E9-D252B531C216}">
  <sheetPr codeName="Sheet20"/>
  <dimension ref="A2:I44"/>
  <sheetViews>
    <sheetView workbookViewId="0">
      <selection activeCell="O22" sqref="O22"/>
    </sheetView>
  </sheetViews>
  <sheetFormatPr defaultRowHeight="16.5"/>
  <cols>
    <col min="4" max="4" width="10.5" style="1" customWidth="1"/>
    <col min="8" max="8" width="30.5" style="1" customWidth="1"/>
  </cols>
  <sheetData>
    <row r="2" spans="1:9" ht="43.5" customHeight="1" thickBot="1">
      <c r="B2" s="112" t="s">
        <v>47</v>
      </c>
      <c r="C2" s="85"/>
      <c r="D2" s="84"/>
      <c r="E2" s="85"/>
      <c r="F2" s="85"/>
      <c r="G2" s="85"/>
      <c r="H2" s="84"/>
      <c r="I2" s="85"/>
    </row>
    <row r="3" spans="1:9">
      <c r="B3" s="113" t="s">
        <v>45</v>
      </c>
      <c r="C3" s="114" t="s">
        <v>2</v>
      </c>
      <c r="D3" s="114" t="s">
        <v>3</v>
      </c>
      <c r="E3" s="50" t="s">
        <v>4</v>
      </c>
      <c r="F3" s="50" t="s">
        <v>5</v>
      </c>
      <c r="G3" s="114" t="s">
        <v>48</v>
      </c>
      <c r="H3" s="114" t="s">
        <v>49</v>
      </c>
      <c r="I3" s="51" t="s">
        <v>50</v>
      </c>
    </row>
    <row r="4" spans="1:9">
      <c r="B4" s="88"/>
      <c r="C4" s="90"/>
      <c r="D4" s="90"/>
      <c r="E4" s="52" t="s">
        <v>8</v>
      </c>
      <c r="F4" s="52" t="s">
        <v>8</v>
      </c>
      <c r="G4" s="90"/>
      <c r="H4" s="90"/>
      <c r="I4" s="53" t="s">
        <v>51</v>
      </c>
    </row>
    <row r="5" spans="1:9">
      <c r="A5" s="54"/>
      <c r="B5" s="55">
        <v>1</v>
      </c>
      <c r="C5" s="56"/>
      <c r="D5" s="6"/>
      <c r="E5" s="57"/>
      <c r="F5" s="58"/>
      <c r="G5" s="57"/>
      <c r="H5" s="58"/>
      <c r="I5" s="59"/>
    </row>
    <row r="6" spans="1:9">
      <c r="A6" s="54"/>
      <c r="B6" s="55">
        <v>2</v>
      </c>
      <c r="C6" s="56"/>
      <c r="D6" s="6"/>
      <c r="E6" s="57"/>
      <c r="F6" s="58"/>
      <c r="G6" s="57"/>
      <c r="H6" s="58"/>
      <c r="I6" s="59"/>
    </row>
    <row r="7" spans="1:9">
      <c r="A7" s="54"/>
      <c r="B7" s="55">
        <v>3</v>
      </c>
      <c r="C7" s="56"/>
      <c r="D7" s="6"/>
      <c r="E7" s="57"/>
      <c r="F7" s="58"/>
      <c r="G7" s="57"/>
      <c r="H7" s="58"/>
      <c r="I7" s="59"/>
    </row>
    <row r="8" spans="1:9">
      <c r="A8" s="54"/>
      <c r="B8" s="55">
        <v>4</v>
      </c>
      <c r="C8" s="56"/>
      <c r="D8" s="6"/>
      <c r="E8" s="57"/>
      <c r="F8" s="58"/>
      <c r="G8" s="57"/>
      <c r="H8" s="58"/>
      <c r="I8" s="59"/>
    </row>
    <row r="9" spans="1:9">
      <c r="A9" s="54"/>
      <c r="B9" s="55">
        <v>5</v>
      </c>
      <c r="C9" s="56"/>
      <c r="D9" s="6"/>
      <c r="E9" s="57"/>
      <c r="F9" s="58"/>
      <c r="G9" s="57"/>
      <c r="H9" s="58"/>
      <c r="I9" s="59"/>
    </row>
    <row r="10" spans="1:9">
      <c r="A10" s="54"/>
      <c r="B10" s="55">
        <v>6</v>
      </c>
      <c r="C10" s="56"/>
      <c r="D10" s="6"/>
      <c r="E10" s="57"/>
      <c r="F10" s="58"/>
      <c r="G10" s="57"/>
      <c r="H10" s="58"/>
      <c r="I10" s="59"/>
    </row>
    <row r="11" spans="1:9">
      <c r="A11" s="54"/>
      <c r="B11" s="55">
        <v>7</v>
      </c>
      <c r="C11" s="56"/>
      <c r="D11" s="6"/>
      <c r="E11" s="57"/>
      <c r="F11" s="58"/>
      <c r="G11" s="57"/>
      <c r="H11" s="58"/>
      <c r="I11" s="59"/>
    </row>
    <row r="12" spans="1:9">
      <c r="A12" s="54"/>
      <c r="B12" s="55">
        <v>8</v>
      </c>
      <c r="C12" s="56"/>
      <c r="D12" s="6"/>
      <c r="E12" s="57"/>
      <c r="F12" s="58"/>
      <c r="G12" s="57"/>
      <c r="H12" s="58"/>
      <c r="I12" s="59"/>
    </row>
    <row r="13" spans="1:9">
      <c r="A13" s="54"/>
      <c r="B13" s="55">
        <v>9</v>
      </c>
      <c r="C13" s="56"/>
      <c r="D13" s="6"/>
      <c r="E13" s="57"/>
      <c r="F13" s="58"/>
      <c r="G13" s="57"/>
      <c r="H13" s="58"/>
      <c r="I13" s="59"/>
    </row>
    <row r="14" spans="1:9">
      <c r="A14" s="54"/>
      <c r="B14" s="55">
        <v>10</v>
      </c>
      <c r="C14" s="56"/>
      <c r="D14" s="6"/>
      <c r="E14" s="57"/>
      <c r="F14" s="58"/>
      <c r="G14" s="57"/>
      <c r="H14" s="58"/>
      <c r="I14" s="59"/>
    </row>
    <row r="15" spans="1:9">
      <c r="A15" s="54"/>
      <c r="B15" s="55">
        <v>11</v>
      </c>
      <c r="C15" s="56"/>
      <c r="D15" s="6"/>
      <c r="E15" s="57"/>
      <c r="F15" s="58"/>
      <c r="G15" s="57"/>
      <c r="H15" s="58"/>
      <c r="I15" s="59"/>
    </row>
    <row r="16" spans="1:9">
      <c r="A16" s="54"/>
      <c r="B16" s="55">
        <v>12</v>
      </c>
      <c r="C16" s="56"/>
      <c r="D16" s="6"/>
      <c r="E16" s="57"/>
      <c r="F16" s="58"/>
      <c r="G16" s="57"/>
      <c r="H16" s="58"/>
      <c r="I16" s="59"/>
    </row>
    <row r="17" spans="1:9">
      <c r="A17" s="54"/>
      <c r="B17" s="55">
        <v>13</v>
      </c>
      <c r="C17" s="56"/>
      <c r="D17" s="6"/>
      <c r="E17" s="57"/>
      <c r="F17" s="58"/>
      <c r="G17" s="57"/>
      <c r="H17" s="58"/>
      <c r="I17" s="59"/>
    </row>
    <row r="18" spans="1:9">
      <c r="A18" s="54"/>
      <c r="B18" s="55">
        <v>14</v>
      </c>
      <c r="C18" s="56"/>
      <c r="D18" s="6"/>
      <c r="E18" s="57"/>
      <c r="F18" s="58"/>
      <c r="G18" s="57"/>
      <c r="H18" s="58"/>
      <c r="I18" s="59"/>
    </row>
    <row r="19" spans="1:9">
      <c r="A19" s="54"/>
      <c r="B19" s="55">
        <v>15</v>
      </c>
      <c r="C19" s="56"/>
      <c r="D19" s="6"/>
      <c r="E19" s="57"/>
      <c r="F19" s="58"/>
      <c r="G19" s="57"/>
      <c r="H19" s="58"/>
      <c r="I19" s="59"/>
    </row>
    <row r="20" spans="1:9">
      <c r="A20" s="54"/>
      <c r="B20" s="55">
        <v>16</v>
      </c>
      <c r="C20" s="56"/>
      <c r="D20" s="6"/>
      <c r="E20" s="57"/>
      <c r="F20" s="58"/>
      <c r="G20" s="57"/>
      <c r="H20" s="58"/>
      <c r="I20" s="59"/>
    </row>
    <row r="21" spans="1:9">
      <c r="A21" s="54"/>
      <c r="B21" s="55">
        <v>17</v>
      </c>
      <c r="C21" s="56"/>
      <c r="D21" s="6"/>
      <c r="E21" s="57"/>
      <c r="F21" s="58"/>
      <c r="G21" s="57"/>
      <c r="H21" s="58"/>
      <c r="I21" s="59"/>
    </row>
    <row r="22" spans="1:9">
      <c r="A22" s="54"/>
      <c r="B22" s="55">
        <v>18</v>
      </c>
      <c r="C22" s="56"/>
      <c r="D22" s="6"/>
      <c r="E22" s="57"/>
      <c r="F22" s="58"/>
      <c r="G22" s="57"/>
      <c r="H22" s="58"/>
      <c r="I22" s="59"/>
    </row>
    <row r="23" spans="1:9">
      <c r="A23" s="54"/>
      <c r="B23" s="55">
        <v>19</v>
      </c>
      <c r="C23" s="56"/>
      <c r="D23" s="6"/>
      <c r="E23" s="57"/>
      <c r="F23" s="58"/>
      <c r="G23" s="57"/>
      <c r="H23" s="58"/>
      <c r="I23" s="59"/>
    </row>
    <row r="24" spans="1:9" ht="17.25" customHeight="1" thickBot="1">
      <c r="A24" s="54"/>
      <c r="B24" s="60">
        <v>20</v>
      </c>
      <c r="C24" s="61"/>
      <c r="D24" s="10"/>
      <c r="E24" s="62"/>
      <c r="F24" s="63"/>
      <c r="G24" s="62"/>
      <c r="H24" s="63"/>
      <c r="I24" s="64"/>
    </row>
    <row r="25" spans="1:9">
      <c r="A25" s="54"/>
      <c r="B25" s="65">
        <v>41</v>
      </c>
      <c r="C25" s="66"/>
      <c r="D25" s="67"/>
      <c r="E25" s="68"/>
      <c r="F25" s="69"/>
      <c r="G25" s="68"/>
      <c r="H25" s="69"/>
      <c r="I25" s="70"/>
    </row>
    <row r="26" spans="1:9">
      <c r="A26" s="54"/>
      <c r="B26" s="55">
        <v>42</v>
      </c>
      <c r="C26" s="56"/>
      <c r="D26" s="6"/>
      <c r="E26" s="57"/>
      <c r="F26" s="58"/>
      <c r="G26" s="57"/>
      <c r="H26" s="58"/>
      <c r="I26" s="59"/>
    </row>
    <row r="27" spans="1:9">
      <c r="A27" s="54"/>
      <c r="B27" s="55">
        <v>43</v>
      </c>
      <c r="C27" s="56"/>
      <c r="D27" s="6"/>
      <c r="E27" s="57"/>
      <c r="F27" s="58"/>
      <c r="G27" s="57"/>
      <c r="H27" s="58"/>
      <c r="I27" s="59"/>
    </row>
    <row r="28" spans="1:9">
      <c r="A28" s="54"/>
      <c r="B28" s="55">
        <v>44</v>
      </c>
      <c r="C28" s="56"/>
      <c r="D28" s="6"/>
      <c r="E28" s="57"/>
      <c r="F28" s="58"/>
      <c r="G28" s="57"/>
      <c r="H28" s="58"/>
      <c r="I28" s="59"/>
    </row>
    <row r="29" spans="1:9">
      <c r="A29" s="54"/>
      <c r="B29" s="55">
        <v>45</v>
      </c>
      <c r="C29" s="56"/>
      <c r="D29" s="6"/>
      <c r="E29" s="57"/>
      <c r="F29" s="58"/>
      <c r="G29" s="57"/>
      <c r="H29" s="58"/>
      <c r="I29" s="59"/>
    </row>
    <row r="30" spans="1:9">
      <c r="A30" s="54"/>
      <c r="B30" s="55">
        <v>46</v>
      </c>
      <c r="C30" s="56"/>
      <c r="D30" s="6"/>
      <c r="E30" s="57"/>
      <c r="F30" s="58"/>
      <c r="G30" s="57"/>
      <c r="H30" s="58"/>
      <c r="I30" s="59"/>
    </row>
    <row r="31" spans="1:9">
      <c r="A31" s="54"/>
      <c r="B31" s="55">
        <v>47</v>
      </c>
      <c r="C31" s="56"/>
      <c r="D31" s="6"/>
      <c r="E31" s="57"/>
      <c r="F31" s="58"/>
      <c r="G31" s="57"/>
      <c r="H31" s="58"/>
      <c r="I31" s="59"/>
    </row>
    <row r="32" spans="1:9">
      <c r="A32" s="54"/>
      <c r="B32" s="55">
        <v>48</v>
      </c>
      <c r="C32" s="56"/>
      <c r="D32" s="6"/>
      <c r="E32" s="57"/>
      <c r="F32" s="58"/>
      <c r="G32" s="57"/>
      <c r="H32" s="58"/>
      <c r="I32" s="59"/>
    </row>
    <row r="33" spans="1:9">
      <c r="A33" s="54"/>
      <c r="B33" s="55">
        <v>49</v>
      </c>
      <c r="C33" s="56"/>
      <c r="D33" s="6"/>
      <c r="E33" s="57"/>
      <c r="F33" s="58"/>
      <c r="G33" s="57"/>
      <c r="H33" s="58"/>
      <c r="I33" s="59"/>
    </row>
    <row r="34" spans="1:9">
      <c r="A34" s="54"/>
      <c r="B34" s="55">
        <v>50</v>
      </c>
      <c r="C34" s="56"/>
      <c r="D34" s="6"/>
      <c r="E34" s="57"/>
      <c r="F34" s="58"/>
      <c r="G34" s="57"/>
      <c r="H34" s="58"/>
      <c r="I34" s="59"/>
    </row>
    <row r="35" spans="1:9">
      <c r="A35" s="54"/>
      <c r="B35" s="55">
        <v>51</v>
      </c>
      <c r="C35" s="56"/>
      <c r="D35" s="6"/>
      <c r="E35" s="57"/>
      <c r="F35" s="58"/>
      <c r="G35" s="57"/>
      <c r="H35" s="58"/>
      <c r="I35" s="59"/>
    </row>
    <row r="36" spans="1:9">
      <c r="A36" s="54"/>
      <c r="B36" s="55">
        <v>52</v>
      </c>
      <c r="C36" s="56"/>
      <c r="D36" s="6"/>
      <c r="E36" s="57"/>
      <c r="F36" s="58"/>
      <c r="G36" s="57"/>
      <c r="H36" s="58"/>
      <c r="I36" s="59"/>
    </row>
    <row r="37" spans="1:9">
      <c r="A37" s="54"/>
      <c r="B37" s="55">
        <v>53</v>
      </c>
      <c r="C37" s="56"/>
      <c r="D37" s="6"/>
      <c r="E37" s="57"/>
      <c r="F37" s="58"/>
      <c r="G37" s="57"/>
      <c r="H37" s="58"/>
      <c r="I37" s="59"/>
    </row>
    <row r="38" spans="1:9">
      <c r="A38" s="54"/>
      <c r="B38" s="55">
        <v>54</v>
      </c>
      <c r="C38" s="56"/>
      <c r="D38" s="6"/>
      <c r="E38" s="57"/>
      <c r="F38" s="58"/>
      <c r="G38" s="57"/>
      <c r="H38" s="58"/>
      <c r="I38" s="59"/>
    </row>
    <row r="39" spans="1:9">
      <c r="A39" s="54"/>
      <c r="B39" s="55">
        <v>55</v>
      </c>
      <c r="C39" s="56"/>
      <c r="D39" s="6"/>
      <c r="E39" s="57"/>
      <c r="F39" s="58"/>
      <c r="G39" s="57"/>
      <c r="H39" s="58"/>
      <c r="I39" s="59"/>
    </row>
    <row r="40" spans="1:9">
      <c r="A40" s="54"/>
      <c r="B40" s="55">
        <v>56</v>
      </c>
      <c r="C40" s="56"/>
      <c r="D40" s="6"/>
      <c r="E40" s="57"/>
      <c r="F40" s="58"/>
      <c r="G40" s="57"/>
      <c r="H40" s="58"/>
      <c r="I40" s="59"/>
    </row>
    <row r="41" spans="1:9">
      <c r="A41" s="54"/>
      <c r="B41" s="55">
        <v>57</v>
      </c>
      <c r="C41" s="56"/>
      <c r="D41" s="6"/>
      <c r="E41" s="57"/>
      <c r="F41" s="58"/>
      <c r="G41" s="57"/>
      <c r="H41" s="58"/>
      <c r="I41" s="59"/>
    </row>
    <row r="42" spans="1:9">
      <c r="A42" s="54"/>
      <c r="B42" s="55">
        <v>58</v>
      </c>
      <c r="C42" s="56"/>
      <c r="D42" s="6"/>
      <c r="E42" s="57"/>
      <c r="F42" s="58"/>
      <c r="G42" s="57"/>
      <c r="H42" s="58"/>
      <c r="I42" s="59"/>
    </row>
    <row r="43" spans="1:9">
      <c r="A43" s="54"/>
      <c r="B43" s="55">
        <v>59</v>
      </c>
      <c r="C43" s="56"/>
      <c r="D43" s="6"/>
      <c r="E43" s="57"/>
      <c r="F43" s="58"/>
      <c r="G43" s="57"/>
      <c r="H43" s="58"/>
      <c r="I43" s="59"/>
    </row>
    <row r="44" spans="1:9" ht="17.25" customHeight="1" thickBot="1">
      <c r="A44" s="54"/>
      <c r="B44" s="60">
        <v>60</v>
      </c>
      <c r="C44" s="61"/>
      <c r="D44" s="10"/>
      <c r="E44" s="62"/>
      <c r="F44" s="63"/>
      <c r="G44" s="62"/>
      <c r="H44" s="63"/>
      <c r="I44" s="64"/>
    </row>
  </sheetData>
  <mergeCells count="6">
    <mergeCell ref="B2:I2"/>
    <mergeCell ref="B3:B4"/>
    <mergeCell ref="C3:C4"/>
    <mergeCell ref="D3:D4"/>
    <mergeCell ref="G3:G4"/>
    <mergeCell ref="H3:H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1반 남</vt:lpstr>
      <vt:lpstr>1반 여</vt:lpstr>
      <vt:lpstr>2반 남</vt:lpstr>
      <vt:lpstr>2반 여</vt:lpstr>
      <vt:lpstr>3반 남</vt:lpstr>
      <vt:lpstr>3반 여</vt:lpstr>
      <vt:lpstr>4반 남</vt:lpstr>
      <vt:lpstr>4반 여</vt:lpstr>
      <vt:lpstr>통계표</vt:lpstr>
      <vt:lpstr>전체</vt:lpstr>
      <vt:lpstr>학급별 1반</vt:lpstr>
      <vt:lpstr>학급별 2반</vt:lpstr>
      <vt:lpstr>학급별 3반</vt:lpstr>
      <vt:lpstr>학급별 4반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김유하</dc:creator>
  <cp:lastModifiedBy>김유하</cp:lastModifiedBy>
  <dcterms:created xsi:type="dcterms:W3CDTF">2026-01-08T12:26:35Z</dcterms:created>
  <dcterms:modified xsi:type="dcterms:W3CDTF">2026-01-21T06:58:16Z</dcterms:modified>
</cp:coreProperties>
</file>